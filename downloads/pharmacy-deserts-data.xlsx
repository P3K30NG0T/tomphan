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1_US_Quarterly" sheetId="2" state="visible" r:id="rId4"/>
    <sheet name="A1_States_Quarterly" sheetId="3" state="visible" r:id="rId5"/>
    <sheet name="A1_State_Change" sheetId="4" state="visible" r:id="rId6"/>
    <sheet name="A1_Demand" sheetId="5" state="visible" r:id="rId7"/>
    <sheet name="A1_Timeline" sheetId="6" state="visible" r:id="rId8"/>
    <sheet name="A2_Counties" sheetId="7" state="visible" r:id="rId9"/>
    <sheet name="A2_State_Demand" sheetId="8" state="visible" r:id="rId10"/>
    <sheet name="A3_Payroll" sheetId="9" state="visible" r:id="rId11"/>
    <sheet name="A3_Calculator" sheetId="10" state="visible" r:id="rId12"/>
    <sheet name="A3_Benchmarks" sheetId="11" state="visible" r:id="rId13"/>
    <sheet name="A4_Weis_Financials" sheetId="12" state="visible" r:id="rId14"/>
    <sheet name="A4_Weis_Pharmacies" sheetId="13" state="visible" r:id="rId15"/>
    <sheet name="Sources" sheetId="14" state="visible" r:id="rId16"/>
  </sheets>
  <definedNames>
    <definedName function="false" hidden="true" localSheetId="6" name="_xlnm._FilterDatabase" vbProcedure="false">A2_Counties!$A$4:$T$369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<sst xmlns="http://schemas.openxmlformats.org/spreadsheetml/2006/main" count="2252" uniqueCount="1247">
  <si>
    <t xml:space="preserve">Pharmacy Deserts · Weis Markets: data behind Acts 1-4</t>
  </si>
  <si>
    <t xml:space="preserve">Tom Phan (tomphann.vercel.app). Built 2026-10-20. Independent analysis on public data; no inside information; not investment advice.</t>
  </si>
  <si>
    <t xml:space="preserve">Sheet</t>
  </si>
  <si>
    <t xml:space="preserve">What it holds</t>
  </si>
  <si>
    <t xml:space="preserve">How to read</t>
  </si>
  <si>
    <t xml:space="preserve">Blue numbers are source data or inputs you can change. Black numbers are formulas. Row 2 of every sheet names the source.</t>
  </si>
  <si>
    <t xml:space="preserve">A1_US_Quarterly</t>
  </si>
  <si>
    <t xml:space="preserve">Act 1. US pharmacies and drug stores by quarter (BLS QCEW), with change since Q3 2023.</t>
  </si>
  <si>
    <t xml:space="preserve">A1_States_Quarterly</t>
  </si>
  <si>
    <t xml:space="preserve">Act 1. The same count for Weis's seven states.</t>
  </si>
  <si>
    <t xml:space="preserve">A1_State_Change</t>
  </si>
  <si>
    <t xml:space="preserve">Act 1. Change by state from Q3 2023 to the latest quarter.</t>
  </si>
  <si>
    <t xml:space="preserve">A1_Demand</t>
  </si>
  <si>
    <t xml:space="preserve">Act 1. Pharmacies vs Medicare Part D 30-day prescriptions, 2014 onward, indexed.</t>
  </si>
  <si>
    <t xml:space="preserve">A1_Timeline</t>
  </si>
  <si>
    <t xml:space="preserve">Act 1. Dated events with sources.</t>
  </si>
  <si>
    <t xml:space="preserve">A2_Counties</t>
  </si>
  <si>
    <t xml:space="preserve">Act 2. All 365 counties in the seven states: pharmacies, people, age, cars, health, Weis pharmacies.</t>
  </si>
  <si>
    <t xml:space="preserve">A2_State_Demand</t>
  </si>
  <si>
    <t xml:space="preserve">Act 2. Medicare prescriptions per stand-alone pharmacy by state, 2024.</t>
  </si>
  <si>
    <t xml:space="preserve">A3_Payroll</t>
  </si>
  <si>
    <t xml:space="preserve">Act 3. Pay and jobs per pharmacy, 2014-2025 (BLS QCEW).</t>
  </si>
  <si>
    <t xml:space="preserve">A3_Calculator</t>
  </si>
  <si>
    <t xml:space="preserve">Act 3. One stand-alone pharmacy's year: change the blue inputs.</t>
  </si>
  <si>
    <t xml:space="preserve">A3_Benchmarks</t>
  </si>
  <si>
    <t xml:space="preserve">Act 3. Industry benchmarks from NCPA, Walgreens, CVS and BLS wage data.</t>
  </si>
  <si>
    <t xml:space="preserve">A4_Weis_Financials</t>
  </si>
  <si>
    <t xml:space="preserve">Act 4. Weis Markets financials from SEC filings.</t>
  </si>
  <si>
    <t xml:space="preserve">A4_Weis_Pharmacies</t>
  </si>
  <si>
    <t xml:space="preserve">Act 4. Pharmacies registered to Weis in the NPI registry, with county.</t>
  </si>
  <si>
    <t xml:space="preserve">Sources</t>
  </si>
  <si>
    <t xml:space="preserve">Every source with its link.</t>
  </si>
  <si>
    <t xml:space="preserve">Note on counts</t>
  </si>
  <si>
    <t xml:space="preserve">BLS counts businesses whose main activity is selling medicine (chain drugstores and independents). Pharmacy counters inside supermarkets and big-box stores are counted under the store's main business, so they are not included. County totals are slightly below state totals because BLS withholds some county detail.</t>
  </si>
  <si>
    <t xml:space="preserve">US pharmacies and drug stores, by quarter</t>
  </si>
  <si>
    <t xml:space="preserve">Source: BLS Quarterly Census of Employment and Wages (pharmacies and drug stores, NAICS 446110/456110), private sector. https://www.bls.gov/cew/</t>
  </si>
  <si>
    <t xml:space="preserve">Quarter</t>
  </si>
  <si>
    <t xml:space="preserve">Pharmacies</t>
  </si>
  <si>
    <t xml:space="preserve">Jobs</t>
  </si>
  <si>
    <t xml:space="preserve">Change in pharmacies vs Q3 2023</t>
  </si>
  <si>
    <t xml:space="preserve">% change vs Q3 2023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</si>
  <si>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</si>
  <si>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</si>
  <si>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</si>
  <si>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</si>
  <si>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</si>
  <si>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</si>
  <si>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</si>
  <si>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</si>
  <si>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</si>
  <si>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</si>
  <si>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</si>
  <si>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</si>
  <si>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</si>
  <si>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</si>
  <si>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</si>
  <si>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</si>
  <si>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</si>
  <si>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</si>
  <si>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</si>
  <si>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</si>
  <si>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</si>
  <si>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</si>
  <si>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</si>
  <si>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</si>
  <si>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</si>
  <si>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</si>
  <si>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</si>
  <si>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</si>
  <si>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</si>
  <si>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Pharmacies and drug stores in Weis's seven states, by quarter</t>
  </si>
  <si>
    <t xml:space="preserve">Source: BLS Quarterly Census of Employment and Wages (pharmacies and drug stores, NAICS 446110/456110). https://www.bls.gov/cew/</t>
  </si>
  <si>
    <t xml:space="preserve">DE</t>
  </si>
  <si>
    <t xml:space="preserve">MD</t>
  </si>
  <si>
    <t xml:space="preserve">NJ</t>
  </si>
  <si>
    <t xml:space="preserve">NY</t>
  </si>
  <si>
    <t xml:space="preserve">PA</t>
  </si>
  <si>
    <t xml:space="preserve">VA</t>
  </si>
  <si>
    <t xml:space="preserve">WV</t>
  </si>
  <si>
    <t xml:space="preserve">Seven states</t>
  </si>
  <si>
    <t xml:space="preserve">Change in pharmacies, 2023Q3 to 2026Q1</t>
  </si>
  <si>
    <t xml:space="preserve">Source: BLS Quarterly Census of Employment and Wages (pharmacies and drug stores, NAICS 446110/456110); Weis store counts from the fiscal 2025 10-K.</t>
  </si>
  <si>
    <t xml:space="preserve">State</t>
  </si>
  <si>
    <t xml:space="preserve">Weis stores</t>
  </si>
  <si>
    <t xml:space="preserve">Pharmacies 2023Q3</t>
  </si>
  <si>
    <t xml:space="preserve">Pharmacies 2026Q1</t>
  </si>
  <si>
    <t xml:space="preserve">Change</t>
  </si>
  <si>
    <t xml:space="preserve">% change</t>
  </si>
  <si>
    <t xml:space="preserve">Jobs 2023Q3</t>
  </si>
  <si>
    <t xml:space="preserve">Jobs 2026Q1</t>
  </si>
  <si>
    <t xml:space="preserve">% change in jobs</t>
  </si>
  <si>
    <t xml:space="preserve">Delaware</t>
  </si>
  <si>
    <t xml:space="preserve">Pennsylvania</t>
  </si>
  <si>
    <t xml:space="preserve">Maryland</t>
  </si>
  <si>
    <t xml:space="preserve">West Virginia</t>
  </si>
  <si>
    <t xml:space="preserve">New York</t>
  </si>
  <si>
    <t xml:space="preserve">Virginia</t>
  </si>
  <si>
    <t xml:space="preserve">New Jersey</t>
  </si>
  <si>
    <t xml:space="preserve">United States</t>
  </si>
  <si>
    <t xml:space="preserve">Rite Aid stores at its first filing (Oct 2023)</t>
  </si>
  <si>
    <t xml:space="preserve">Share of the US drop that cannot be Rite Aid (at least)</t>
  </si>
  <si>
    <t xml:space="preserve">Pharmacies vs Medicare prescriptions</t>
  </si>
  <si>
    <t xml:space="preserve">Sources: BLS Quarterly Census of Employment and Wages (pharmacies and drug stores, NAICS 446110/456110) (annual averages); CMS Medicare Part D Prescribers by Geography and Drug (national 30-day fills, summed over all drugs). https://data.cms.gov/provider-summary-by-type-of-service/medicare-part-d-prescribers/medicare-part-d-prescribers-by-geography-and-drug</t>
  </si>
  <si>
    <t xml:space="preserve">Year</t>
  </si>
  <si>
    <t xml:space="preserve">Pharmacies (annual avg)</t>
  </si>
  <si>
    <t xml:space="preserve">Medicare Part D 30-day fills</t>
  </si>
  <si>
    <t xml:space="preserve">Medicare Part D claims</t>
  </si>
  <si>
    <t xml:space="preserve">Pharmacies index (2014=100)</t>
  </si>
  <si>
    <t xml:space="preserve">Fills index (2014=100)</t>
  </si>
  <si>
    <t xml:space="preserve">Medicare fills per pharmacy</t>
  </si>
  <si>
    <t xml:space="preserve">What happened, with sources</t>
  </si>
  <si>
    <t xml:space="preserve">Sources: see the link in each row.</t>
  </si>
  <si>
    <t xml:space="preserve">When</t>
  </si>
  <si>
    <t xml:space="preserve">What happened</t>
  </si>
  <si>
    <t xml:space="preserve">Why it matters</t>
  </si>
  <si>
    <t xml:space="preserve">Source</t>
  </si>
  <si>
    <t xml:space="preserve">Oct 2023</t>
  </si>
  <si>
    <t xml:space="preserve">Rite Aid, then the third-largest US drugstore chain, files for bankruptcy with more than $4 billion of debt and 2,111 stores.</t>
  </si>
  <si>
    <t xml:space="preserve">A household name cannot pay its bills.</t>
  </si>
  <si>
    <t xml:space="preserve">https://www.healthcarefinancenews.com/news/rite-aid-comes-out-chapter-11-bankruptcy</t>
  </si>
  <si>
    <t xml:space="preserve">Sep 2024</t>
  </si>
  <si>
    <t xml:space="preserve">It leaves bankruptcy owned by its lenders, after cutting about $2 billion of debt and closing more than 500 stores.</t>
  </si>
  <si>
    <t xml:space="preserve">Getting smaller did not fix the business.</t>
  </si>
  <si>
    <t xml:space="preserve">Mar 2025</t>
  </si>
  <si>
    <t xml:space="preserve">GoodRx finds 48.4 million Americans, about 1 in 7, live in a pharmacy desert, where most people must drive more than 15 minutes to reach their nearest pharmacies.</t>
  </si>
  <si>
    <t xml:space="preserve">Access was already thin in many places.</t>
  </si>
  <si>
    <t xml:space="preserve">https://www.goodrx.com/healthcare-access/research/many-americans-lack-convenient-access-to-pharmacies</t>
  </si>
  <si>
    <t xml:space="preserve">May 2025</t>
  </si>
  <si>
    <t xml:space="preserve">Rite Aid files again with about 1,250 stores, this time to close them all and sell its customers' prescription records. CVS plans 271 closures that year, Walgreens 500.</t>
  </si>
  <si>
    <t xml:space="preserve">The leaders are shrinking too.</t>
  </si>
  <si>
    <t xml:space="preserve">https://abc7ny.com/post/rite-aid-closes-remaining-stores-more-60-years-business/17937848/</t>
  </si>
  <si>
    <t xml:space="preserve">Aug 2025</t>
  </si>
  <si>
    <t xml:space="preserve">The last Rite Aid pharmacy in Pennsylvania closes; CVS takes the records of 173 of them there and 42 in New Jersey. Walgreens is taken private by Sycamore Partners.</t>
  </si>
  <si>
    <t xml:space="preserve">Weis's main state is hit directly.</t>
  </si>
  <si>
    <t xml:space="preserve">https://www.inquirer.com/business/health/rite-aid-pharmacies-closed-pennsylvania-new-jersey-20250823.html</t>
  </si>
  <si>
    <t xml:space="preserve">Oct 2025</t>
  </si>
  <si>
    <t xml:space="preserve">The final 89 Rite Aid stores close after 63 years. CVS says it now serves more than 9 million former Rite Aid patients, from the records of 626 pharmacies in 15 states.</t>
  </si>
  <si>
    <t xml:space="preserve">Most patients were handed to a nearby rival.</t>
  </si>
  <si>
    <t xml:space="preserve">https://www.pymnts.com/acquisitions/2025/cvs-pharmacy-says-it-gained-9-million-former-rite-aid-customers/</t>
  </si>
  <si>
    <t xml:space="preserve">2025</t>
  </si>
  <si>
    <t xml:space="preserve">Weis buys the prescription records of 12 competitor pharmacies (its annual report does not name the sellers).</t>
  </si>
  <si>
    <t xml:space="preserve">Weis has started to collect patients, in small numbers.</t>
  </si>
  <si>
    <t xml:space="preserve">https://www.sec.gov/Archives/edgar/data/105418/000010541826000024/wmk-20251227x10k.htm</t>
  </si>
  <si>
    <t xml:space="preserve">Jan 2026</t>
  </si>
  <si>
    <t xml:space="preserve">Medicare's first negotiated drug prices take effect. Weis says they cut its pharmacy revenue by $18.2 million in the first half of 2026.</t>
  </si>
  <si>
    <t xml:space="preserve">A new squeeze on revenue per prescription.</t>
  </si>
  <si>
    <t xml:space="preserve">https://www.weismarkets.com/weis-markets-reports-second-quarter-2026-results</t>
  </si>
  <si>
    <t xml:space="preserve">Apr 2026</t>
  </si>
  <si>
    <t xml:space="preserve">IQVIA reports Americans used a record 210 billion days of medicine in 2025, up 13% in five years.</t>
  </si>
  <si>
    <t xml:space="preserve">Demand keeps growing.</t>
  </si>
  <si>
    <t xml:space="preserve">https://www.iqvia.com/insights/the-iqvia-institute/reports/us-medicine-use-trends-2026</t>
  </si>
  <si>
    <t xml:space="preserve">All counties in Weis's seven states</t>
  </si>
  <si>
    <t xml:space="preserve">Sources: BLS Quarterly Census of Employment and Wages (pharmacies and drug stores, NAICS 446110/456110) (pharmacies, 2023Q3 and 2026Q1); CDC/ATSDR Social Vulnerability Index 2022 (county) (people, age, cars, poverty, insurance); CDC PLACES: Local Data for Better Health, County Data, 2025 release (diabetes, high blood pressure, lack of transport; 2023 estimates); CMS NPPES NPI Registry (pharmacies registered to Weis Markets).</t>
  </si>
  <si>
    <t xml:space="preserve">FIPS</t>
  </si>
  <si>
    <t xml:space="preserve">County</t>
  </si>
  <si>
    <t xml:space="preserve">Residents</t>
  </si>
  <si>
    <t xml:space="preserve">Residents 65+</t>
  </si>
  <si>
    <t xml:space="preserve">% 65+</t>
  </si>
  <si>
    <t xml:space="preserve">% households with no car</t>
  </si>
  <si>
    <t xml:space="preserve">% below 150% of poverty</t>
  </si>
  <si>
    <t xml:space="preserve">% uninsured</t>
  </si>
  <si>
    <t xml:space="preserve">Pharmacies per 10,000 residents</t>
  </si>
  <si>
    <t xml:space="preserve">Residents per pharmacy</t>
  </si>
  <si>
    <t xml:space="preserve">Residents 65+ per pharmacy</t>
  </si>
  <si>
    <t xml:space="preserve">% adults with diabetes</t>
  </si>
  <si>
    <t xml:space="preserve">% adults with high blood pressure</t>
  </si>
  <si>
    <t xml:space="preserve">% lacking reliable transport</t>
  </si>
  <si>
    <t xml:space="preserve">Weis pharmacies (NPI)</t>
  </si>
  <si>
    <t xml:space="preserve">10001</t>
  </si>
  <si>
    <t xml:space="preserve">Kent</t>
  </si>
  <si>
    <t xml:space="preserve">10003</t>
  </si>
  <si>
    <t xml:space="preserve">New Castle</t>
  </si>
  <si>
    <t xml:space="preserve">10005</t>
  </si>
  <si>
    <t xml:space="preserve">Sussex</t>
  </si>
  <si>
    <t xml:space="preserve">24001</t>
  </si>
  <si>
    <t xml:space="preserve">Allegany</t>
  </si>
  <si>
    <t xml:space="preserve">24003</t>
  </si>
  <si>
    <t xml:space="preserve">Anne Arundel</t>
  </si>
  <si>
    <t xml:space="preserve">24510</t>
  </si>
  <si>
    <t xml:space="preserve">Baltimore</t>
  </si>
  <si>
    <t xml:space="preserve">24005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</si>
  <si>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</si>
  <si>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</si>
  <si>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</si>
  <si>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</si>
  <si>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</si>
  <si>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Carroll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</si>
  <si>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</si>
  <si>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</si>
  <si>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</si>
  <si>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</si>
  <si>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</si>
  <si>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</si>
  <si>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</si>
  <si>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</si>
  <si>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</si>
  <si>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</si>
  <si>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</si>
  <si>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</si>
  <si>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</si>
  <si>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Howard</t>
  </si>
  <si>
    <t xml:space="preserve">24029</t>
  </si>
  <si>
    <t xml:space="preserve">24031</t>
  </si>
  <si>
    <t xml:space="preserve">Montgomery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</si>
  <si>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</si>
  <si>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</si>
  <si>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</si>
  <si>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</si>
  <si>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24039</t>
  </si>
  <si>
    <t xml:space="preserve">Somerset</t>
  </si>
  <si>
    <t xml:space="preserve">24037</t>
  </si>
  <si>
    <t xml:space="preserve">St. Mary's</t>
  </si>
  <si>
    <t xml:space="preserve">24041</t>
  </si>
  <si>
    <t xml:space="preserve">Talbot</t>
  </si>
  <si>
    <t xml:space="preserve">24043</t>
  </si>
  <si>
    <t xml:space="preserve">Washington</t>
  </si>
  <si>
    <t xml:space="preserve">24045</t>
  </si>
  <si>
    <t xml:space="preserve">Wicomico</t>
  </si>
  <si>
    <t xml:space="preserve">24047</t>
  </si>
  <si>
    <t xml:space="preserve">Worcester</t>
  </si>
  <si>
    <t xml:space="preserve">34001</t>
  </si>
  <si>
    <t xml:space="preserve">Atlantic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</si>
  <si>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</si>
  <si>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</si>
  <si>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</si>
  <si>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</si>
  <si>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</si>
  <si>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Camden</t>
  </si>
  <si>
    <t xml:space="preserve">34009</t>
  </si>
  <si>
    <t xml:space="preserve">Cape May</t>
  </si>
  <si>
    <t xml:space="preserve">34011</t>
  </si>
  <si>
    <t xml:space="preserve">Cumberland</t>
  </si>
  <si>
    <t xml:space="preserve">34013</t>
  </si>
  <si>
    <t xml:space="preserve">Essex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</si>
  <si>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</si>
  <si>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</si>
  <si>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</si>
  <si>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</si>
  <si>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</si>
  <si>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</si>
  <si>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</si>
  <si>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Mercer</t>
  </si>
  <si>
    <t xml:space="preserve">34023</t>
  </si>
  <si>
    <t xml:space="preserve">Middlesex</t>
  </si>
  <si>
    <t xml:space="preserve">34025</t>
  </si>
  <si>
    <t xml:space="preserve">Monmouth</t>
  </si>
  <si>
    <t xml:space="preserve">34027</t>
  </si>
  <si>
    <t xml:space="preserve">Morris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</si>
  <si>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</si>
  <si>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</si>
  <si>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</si>
  <si>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</si>
  <si>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</si>
  <si>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</si>
  <si>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</si>
  <si>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</si>
  <si>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</si>
  <si>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Union</t>
  </si>
  <si>
    <t xml:space="preserve">34041</t>
  </si>
  <si>
    <t xml:space="preserve">Warren</t>
  </si>
  <si>
    <t xml:space="preserve">36001</t>
  </si>
  <si>
    <t xml:space="preserve">Albany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</si>
  <si>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</si>
  <si>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</si>
  <si>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</si>
  <si>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</si>
  <si>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</si>
  <si>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</si>
  <si>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</si>
  <si>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</si>
  <si>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</si>
  <si>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</si>
  <si>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Chautauqua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</si>
  <si>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</si>
  <si>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</si>
  <si>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</si>
  <si>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</si>
  <si>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</si>
  <si>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Clinton</t>
  </si>
  <si>
    <t xml:space="preserve">36021</t>
  </si>
  <si>
    <t xml:space="preserve">Columbia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</si>
  <si>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</si>
  <si>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</si>
  <si>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</si>
  <si>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</si>
  <si>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</si>
  <si>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</si>
  <si>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</si>
  <si>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</si>
  <si>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</si>
  <si>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Franklin</t>
  </si>
  <si>
    <t xml:space="preserve">36035</t>
  </si>
  <si>
    <t xml:space="preserve">Fulton</t>
  </si>
  <si>
    <t xml:space="preserve">36037</t>
  </si>
  <si>
    <t xml:space="preserve">Genesee</t>
  </si>
  <si>
    <t xml:space="preserve">36039</t>
  </si>
  <si>
    <t xml:space="preserve">Greene</t>
  </si>
  <si>
    <t xml:space="preserve">36041</t>
  </si>
  <si>
    <t xml:space="preserve">Hamilton</t>
  </si>
  <si>
    <t xml:space="preserve">36043</t>
  </si>
  <si>
    <t xml:space="preserve">Herkimer</t>
  </si>
  <si>
    <t xml:space="preserve">36045</t>
  </si>
  <si>
    <t xml:space="preserve">Jefferson</t>
  </si>
  <si>
    <t xml:space="preserve">36047</t>
  </si>
  <si>
    <t xml:space="preserve">Kings</t>
  </si>
  <si>
    <t xml:space="preserve">36049</t>
  </si>
  <si>
    <t xml:space="preserve">Lewis</t>
  </si>
  <si>
    <t xml:space="preserve">36051</t>
  </si>
  <si>
    <t xml:space="preserve">Livingston</t>
  </si>
  <si>
    <t xml:space="preserve">36053</t>
  </si>
  <si>
    <t xml:space="preserve">Madison</t>
  </si>
  <si>
    <t xml:space="preserve">36055</t>
  </si>
  <si>
    <t xml:space="preserve">Monroe</t>
  </si>
  <si>
    <t xml:space="preserve">36057</t>
  </si>
  <si>
    <t xml:space="preserve">36059</t>
  </si>
  <si>
    <t xml:space="preserve">Nassau</t>
  </si>
  <si>
    <t xml:space="preserve">36061</t>
  </si>
  <si>
    <t xml:space="preserve">36063</t>
  </si>
  <si>
    <t xml:space="preserve">Niagara</t>
  </si>
  <si>
    <t xml:space="preserve">36065</t>
  </si>
  <si>
    <t xml:space="preserve">Oneida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</si>
  <si>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</si>
  <si>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</si>
  <si>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</si>
  <si>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</si>
  <si>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</si>
  <si>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Orange</t>
  </si>
  <si>
    <t xml:space="preserve">36073</t>
  </si>
  <si>
    <t xml:space="preserve">Orleans</t>
  </si>
  <si>
    <t xml:space="preserve">36075</t>
  </si>
  <si>
    <t xml:space="preserve">Oswego</t>
  </si>
  <si>
    <t xml:space="preserve">36077</t>
  </si>
  <si>
    <t xml:space="preserve">Otsego</t>
  </si>
  <si>
    <t xml:space="preserve">36079</t>
  </si>
  <si>
    <t xml:space="preserve">Putnam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</si>
  <si>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</si>
  <si>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</si>
  <si>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</si>
  <si>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</si>
  <si>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</si>
  <si>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Richmond</t>
  </si>
  <si>
    <t xml:space="preserve">36087</t>
  </si>
  <si>
    <t xml:space="preserve">Rockland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</si>
  <si>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</si>
  <si>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</si>
  <si>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</si>
  <si>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</si>
  <si>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</si>
  <si>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</si>
  <si>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</si>
  <si>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Schuyler</t>
  </si>
  <si>
    <t xml:space="preserve">36099</t>
  </si>
  <si>
    <t xml:space="preserve">Seneca</t>
  </si>
  <si>
    <t xml:space="preserve">36089</t>
  </si>
  <si>
    <t xml:space="preserve">St. Lawrence</t>
  </si>
  <si>
    <t xml:space="preserve">36101</t>
  </si>
  <si>
    <t xml:space="preserve">Steuben</t>
  </si>
  <si>
    <t xml:space="preserve">36103</t>
  </si>
  <si>
    <t xml:space="preserve">Suffolk</t>
  </si>
  <si>
    <t xml:space="preserve">36105</t>
  </si>
  <si>
    <t xml:space="preserve">Sullivan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</si>
  <si>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</si>
  <si>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</si>
  <si>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</si>
  <si>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</si>
  <si>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</si>
  <si>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</si>
  <si>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</si>
  <si>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</si>
  <si>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</si>
  <si>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Wayne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</si>
  <si>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</si>
  <si>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</si>
  <si>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</si>
  <si>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</si>
  <si>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</si>
  <si>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</si>
  <si>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42001</t>
  </si>
  <si>
    <t xml:space="preserve">Adams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</si>
  <si>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</si>
  <si>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</si>
  <si>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</si>
  <si>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</si>
  <si>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</si>
  <si>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Beaver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</si>
  <si>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</si>
  <si>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</si>
  <si>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</si>
  <si>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</si>
  <si>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</si>
  <si>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</si>
  <si>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</si>
  <si>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Bradford</t>
  </si>
  <si>
    <t xml:space="preserve">42017</t>
  </si>
  <si>
    <t xml:space="preserve">Bucks</t>
  </si>
  <si>
    <t xml:space="preserve">42019</t>
  </si>
  <si>
    <t xml:space="preserve">Butler</t>
  </si>
  <si>
    <t xml:space="preserve">42021</t>
  </si>
  <si>
    <t xml:space="preserve">Cambria</t>
  </si>
  <si>
    <t xml:space="preserve">42023</t>
  </si>
  <si>
    <t xml:space="preserve">Cameron</t>
  </si>
  <si>
    <t xml:space="preserve">42025</t>
  </si>
  <si>
    <t xml:space="preserve">Carbon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</si>
  <si>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</si>
  <si>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</si>
  <si>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</si>
  <si>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</si>
  <si>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</si>
  <si>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</si>
  <si>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</si>
  <si>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</si>
  <si>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</si>
  <si>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</si>
  <si>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</si>
  <si>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Crawford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</si>
  <si>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</si>
  <si>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</si>
  <si>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</si>
  <si>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</si>
  <si>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</si>
  <si>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Elk</t>
  </si>
  <si>
    <t xml:space="preserve">42049</t>
  </si>
  <si>
    <t xml:space="preserve">42051</t>
  </si>
  <si>
    <t xml:space="preserve">Fayette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</si>
  <si>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</si>
  <si>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</si>
  <si>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</si>
  <si>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</si>
  <si>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</si>
  <si>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</si>
  <si>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</si>
  <si>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</si>
  <si>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Indiana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</si>
  <si>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</si>
  <si>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</si>
  <si>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</si>
  <si>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</si>
  <si>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</si>
  <si>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</si>
  <si>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Lancaster</t>
  </si>
  <si>
    <t xml:space="preserve">42073</t>
  </si>
  <si>
    <t xml:space="preserve">Lawrence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</si>
  <si>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</si>
  <si>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</si>
  <si>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</si>
  <si>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</si>
  <si>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</si>
  <si>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</si>
  <si>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</si>
  <si>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</si>
  <si>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</si>
  <si>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</si>
  <si>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</si>
  <si>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</si>
  <si>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</si>
  <si>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</si>
  <si>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</si>
  <si>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</si>
  <si>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</si>
  <si>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</si>
  <si>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Northampton</t>
  </si>
  <si>
    <t xml:space="preserve">42097</t>
  </si>
  <si>
    <t xml:space="preserve">Northumberland</t>
  </si>
  <si>
    <t xml:space="preserve">42099</t>
  </si>
  <si>
    <t xml:space="preserve">Perry</t>
  </si>
  <si>
    <t xml:space="preserve">42101</t>
  </si>
  <si>
    <t xml:space="preserve">Philadelphia</t>
  </si>
  <si>
    <t xml:space="preserve">42103</t>
  </si>
  <si>
    <t xml:space="preserve">Pike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</si>
  <si>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</si>
  <si>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</si>
  <si>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</si>
  <si>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</si>
  <si>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</si>
  <si>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</si>
  <si>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</si>
  <si>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</si>
  <si>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</si>
  <si>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</si>
  <si>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</si>
  <si>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</si>
  <si>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</si>
  <si>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</si>
  <si>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</si>
  <si>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</si>
  <si>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</si>
  <si>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</si>
  <si>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</si>
  <si>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</si>
  <si>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</si>
  <si>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York</t>
  </si>
  <si>
    <t xml:space="preserve">51001</t>
  </si>
  <si>
    <t xml:space="preserve">Accomack</t>
  </si>
  <si>
    <t xml:space="preserve">51003</t>
  </si>
  <si>
    <t xml:space="preserve">Albemarle</t>
  </si>
  <si>
    <t xml:space="preserve">51510</t>
  </si>
  <si>
    <t xml:space="preserve">Alexandria</t>
  </si>
  <si>
    <t xml:space="preserve">51005</t>
  </si>
  <si>
    <t xml:space="preserve">Alleghany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</si>
  <si>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</si>
  <si>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</si>
  <si>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</si>
  <si>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</si>
  <si>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</si>
  <si>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</si>
  <si>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</si>
  <si>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</si>
  <si>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</si>
  <si>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</si>
  <si>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</si>
  <si>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Bath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</si>
  <si>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</si>
  <si>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</si>
  <si>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</si>
  <si>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</si>
  <si>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</si>
  <si>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51520</t>
  </si>
  <si>
    <t xml:space="preserve">Bristol</t>
  </si>
  <si>
    <t xml:space="preserve">51025</t>
  </si>
  <si>
    <t xml:space="preserve">Brunswick</t>
  </si>
  <si>
    <t xml:space="preserve">51027</t>
  </si>
  <si>
    <t xml:space="preserve">Buchanan</t>
  </si>
  <si>
    <t xml:space="preserve">51029</t>
  </si>
  <si>
    <t xml:space="preserve">Buckingham</t>
  </si>
  <si>
    <t xml:space="preserve">51530</t>
  </si>
  <si>
    <t xml:space="preserve">Buena Vista</t>
  </si>
  <si>
    <t xml:space="preserve">51031</t>
  </si>
  <si>
    <t xml:space="preserve">Campbell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</si>
  <si>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</si>
  <si>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</si>
  <si>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</si>
  <si>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</si>
  <si>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</si>
  <si>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Charlotte</t>
  </si>
  <si>
    <t xml:space="preserve">51540</t>
  </si>
  <si>
    <t xml:space="preserve">Charlottesville</t>
  </si>
  <si>
    <t xml:space="preserve">51550</t>
  </si>
  <si>
    <t xml:space="preserve">Chesapeake</t>
  </si>
  <si>
    <t xml:space="preserve">51041</t>
  </si>
  <si>
    <t xml:space="preserve">Chesterfield</t>
  </si>
  <si>
    <t xml:space="preserve">51043</t>
  </si>
  <si>
    <t xml:space="preserve">Clarke</t>
  </si>
  <si>
    <t xml:space="preserve">51570</t>
  </si>
  <si>
    <t xml:space="preserve">Colonial Heights</t>
  </si>
  <si>
    <t xml:space="preserve">51580</t>
  </si>
  <si>
    <t xml:space="preserve">Covington</t>
  </si>
  <si>
    <t xml:space="preserve">51045</t>
  </si>
  <si>
    <t xml:space="preserve">Craig</t>
  </si>
  <si>
    <t xml:space="preserve">51047</t>
  </si>
  <si>
    <t xml:space="preserve">Culpeper</t>
  </si>
  <si>
    <t xml:space="preserve">51049</t>
  </si>
  <si>
    <t xml:space="preserve">51590</t>
  </si>
  <si>
    <t xml:space="preserve">Danville</t>
  </si>
  <si>
    <t xml:space="preserve">51051</t>
  </si>
  <si>
    <t xml:space="preserve">Dickenson</t>
  </si>
  <si>
    <t xml:space="preserve">51053</t>
  </si>
  <si>
    <t xml:space="preserve">Dinwiddie</t>
  </si>
  <si>
    <t xml:space="preserve">51595</t>
  </si>
  <si>
    <t xml:space="preserve">Emporia</t>
  </si>
  <si>
    <t xml:space="preserve">51057</t>
  </si>
  <si>
    <t xml:space="preserve">51600</t>
  </si>
  <si>
    <t xml:space="preserve">Fairfax</t>
  </si>
  <si>
    <t xml:space="preserve">51059</t>
  </si>
  <si>
    <t xml:space="preserve">51610</t>
  </si>
  <si>
    <t xml:space="preserve">Falls Church</t>
  </si>
  <si>
    <t xml:space="preserve">51061</t>
  </si>
  <si>
    <t xml:space="preserve">Fauquier</t>
  </si>
  <si>
    <t xml:space="preserve">51063</t>
  </si>
  <si>
    <t xml:space="preserve">Floyd</t>
  </si>
  <si>
    <t xml:space="preserve">51065</t>
  </si>
  <si>
    <t xml:space="preserve">Fluvanna</t>
  </si>
  <si>
    <t xml:space="preserve">51620</t>
  </si>
  <si>
    <t xml:space="preserve">51067</t>
  </si>
  <si>
    <t xml:space="preserve">51069</t>
  </si>
  <si>
    <t xml:space="preserve">51630</t>
  </si>
  <si>
    <t xml:space="preserve">Fredericksburg</t>
  </si>
  <si>
    <t xml:space="preserve">51640</t>
  </si>
  <si>
    <t xml:space="preserve">Galax</t>
  </si>
  <si>
    <t xml:space="preserve">51071</t>
  </si>
  <si>
    <t xml:space="preserve">Giles</t>
  </si>
  <si>
    <t xml:space="preserve">51073</t>
  </si>
  <si>
    <t xml:space="preserve">51075</t>
  </si>
  <si>
    <t xml:space="preserve">Goochland</t>
  </si>
  <si>
    <t xml:space="preserve">51077</t>
  </si>
  <si>
    <t xml:space="preserve">Grayson</t>
  </si>
  <si>
    <t xml:space="preserve">51079</t>
  </si>
  <si>
    <t xml:space="preserve">51081</t>
  </si>
  <si>
    <t xml:space="preserve">Greensville</t>
  </si>
  <si>
    <t xml:space="preserve">51083</t>
  </si>
  <si>
    <t xml:space="preserve">Halifax</t>
  </si>
  <si>
    <t xml:space="preserve">51650</t>
  </si>
  <si>
    <t xml:space="preserve">Hampton</t>
  </si>
  <si>
    <t xml:space="preserve">51085</t>
  </si>
  <si>
    <t xml:space="preserve">Hanover</t>
  </si>
  <si>
    <t xml:space="preserve">51660</t>
  </si>
  <si>
    <t xml:space="preserve">Harrisonburg</t>
  </si>
  <si>
    <t xml:space="preserve">51087</t>
  </si>
  <si>
    <t xml:space="preserve">Henrico</t>
  </si>
  <si>
    <t xml:space="preserve">51089</t>
  </si>
  <si>
    <t xml:space="preserve">Henry</t>
  </si>
  <si>
    <t xml:space="preserve">51091</t>
  </si>
  <si>
    <t xml:space="preserve">Highland</t>
  </si>
  <si>
    <t xml:space="preserve">51670</t>
  </si>
  <si>
    <t xml:space="preserve">Hopewell</t>
  </si>
  <si>
    <t xml:space="preserve">51093</t>
  </si>
  <si>
    <t xml:space="preserve">Isle of Wight</t>
  </si>
  <si>
    <t xml:space="preserve">51095</t>
  </si>
  <si>
    <t xml:space="preserve">James City</t>
  </si>
  <si>
    <t xml:space="preserve">51099</t>
  </si>
  <si>
    <t xml:space="preserve">King George</t>
  </si>
  <si>
    <t xml:space="preserve">51101</t>
  </si>
  <si>
    <t xml:space="preserve">King William</t>
  </si>
  <si>
    <t xml:space="preserve">51097</t>
  </si>
  <si>
    <t xml:space="preserve">King and Queen</t>
  </si>
  <si>
    <t xml:space="preserve">51103</t>
  </si>
  <si>
    <t xml:space="preserve">51105</t>
  </si>
  <si>
    <t xml:space="preserve">Lee</t>
  </si>
  <si>
    <t xml:space="preserve">51678</t>
  </si>
  <si>
    <t xml:space="preserve">Lexington</t>
  </si>
  <si>
    <t xml:space="preserve">51107</t>
  </si>
  <si>
    <t xml:space="preserve">Loudoun</t>
  </si>
  <si>
    <t xml:space="preserve">51109</t>
  </si>
  <si>
    <t xml:space="preserve">Louisa</t>
  </si>
  <si>
    <t xml:space="preserve">51111</t>
  </si>
  <si>
    <t xml:space="preserve">Lunenburg</t>
  </si>
  <si>
    <t xml:space="preserve">51680</t>
  </si>
  <si>
    <t xml:space="preserve">Lynchburg</t>
  </si>
  <si>
    <t xml:space="preserve">51113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</si>
  <si>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</si>
  <si>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</si>
  <si>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</si>
  <si>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</si>
  <si>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</si>
  <si>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</si>
  <si>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51115</t>
  </si>
  <si>
    <t xml:space="preserve">Mathews</t>
  </si>
  <si>
    <t xml:space="preserve">51117</t>
  </si>
  <si>
    <t xml:space="preserve">Mecklenburg</t>
  </si>
  <si>
    <t xml:space="preserve">51119</t>
  </si>
  <si>
    <t xml:space="preserve">51121</t>
  </si>
  <si>
    <t xml:space="preserve">51125</t>
  </si>
  <si>
    <t xml:space="preserve">Nelson</t>
  </si>
  <si>
    <t xml:space="preserve">51127</t>
  </si>
  <si>
    <t xml:space="preserve">New Kent</t>
  </si>
  <si>
    <t xml:space="preserve">51700</t>
  </si>
  <si>
    <t xml:space="preserve">Newport News</t>
  </si>
  <si>
    <t xml:space="preserve">51710</t>
  </si>
  <si>
    <t xml:space="preserve">Norfolk</t>
  </si>
  <si>
    <t xml:space="preserve">51131</t>
  </si>
  <si>
    <t xml:space="preserve">51133</t>
  </si>
  <si>
    <t xml:space="preserve">51720</t>
  </si>
  <si>
    <t xml:space="preserve">Norton</t>
  </si>
  <si>
    <t xml:space="preserve">51135</t>
  </si>
  <si>
    <t xml:space="preserve">Nottoway</t>
  </si>
  <si>
    <t xml:space="preserve">51137</t>
  </si>
  <si>
    <t xml:space="preserve">51139</t>
  </si>
  <si>
    <t xml:space="preserve">Page</t>
  </si>
  <si>
    <t xml:space="preserve">51141</t>
  </si>
  <si>
    <t xml:space="preserve">Patrick</t>
  </si>
  <si>
    <t xml:space="preserve">51730</t>
  </si>
  <si>
    <t xml:space="preserve">Petersburg</t>
  </si>
  <si>
    <t xml:space="preserve">51143</t>
  </si>
  <si>
    <t xml:space="preserve">Pittsylvania</t>
  </si>
  <si>
    <t xml:space="preserve">51735</t>
  </si>
  <si>
    <t xml:space="preserve">Poquoson</t>
  </si>
  <si>
    <t xml:space="preserve">51740</t>
  </si>
  <si>
    <t xml:space="preserve">Portsmouth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</si>
  <si>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</si>
  <si>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</si>
  <si>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</si>
  <si>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</si>
  <si>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</si>
  <si>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</si>
  <si>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</si>
  <si>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</si>
  <si>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</si>
  <si>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Pulaski</t>
  </si>
  <si>
    <t xml:space="preserve">51750</t>
  </si>
  <si>
    <t xml:space="preserve">Radford</t>
  </si>
  <si>
    <t xml:space="preserve">51157</t>
  </si>
  <si>
    <t xml:space="preserve">Rappahannock</t>
  </si>
  <si>
    <t xml:space="preserve">51159</t>
  </si>
  <si>
    <t xml:space="preserve">51760</t>
  </si>
  <si>
    <t xml:space="preserve">51770</t>
  </si>
  <si>
    <t xml:space="preserve">Roanoke</t>
  </si>
  <si>
    <t xml:space="preserve">51161</t>
  </si>
  <si>
    <t xml:space="preserve">51163</t>
  </si>
  <si>
    <t xml:space="preserve">Rockbridge</t>
  </si>
  <si>
    <t xml:space="preserve">51165</t>
  </si>
  <si>
    <t xml:space="preserve">Rockingham</t>
  </si>
  <si>
    <t xml:space="preserve">51167</t>
  </si>
  <si>
    <t xml:space="preserve">Russell</t>
  </si>
  <si>
    <t xml:space="preserve">51775</t>
  </si>
  <si>
    <t xml:space="preserve">51169</t>
  </si>
  <si>
    <t xml:space="preserve">Scott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</si>
  <si>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</si>
  <si>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</si>
  <si>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</si>
  <si>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</si>
  <si>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</si>
  <si>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</si>
  <si>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</si>
  <si>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</si>
  <si>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</si>
  <si>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Stafford</t>
  </si>
  <si>
    <t xml:space="preserve">51790</t>
  </si>
  <si>
    <t xml:space="preserve">Staunton</t>
  </si>
  <si>
    <t xml:space="preserve">51800</t>
  </si>
  <si>
    <t xml:space="preserve">51181</t>
  </si>
  <si>
    <t xml:space="preserve">Surry</t>
  </si>
  <si>
    <t xml:space="preserve">51183</t>
  </si>
  <si>
    <t xml:space="preserve">51185</t>
  </si>
  <si>
    <t xml:space="preserve">Tazewell</t>
  </si>
  <si>
    <t xml:space="preserve">51810</t>
  </si>
  <si>
    <t xml:space="preserve">Virginia Beach</t>
  </si>
  <si>
    <t xml:space="preserve">51187</t>
  </si>
  <si>
    <t xml:space="preserve">51191</t>
  </si>
  <si>
    <t xml:space="preserve">51820</t>
  </si>
  <si>
    <t xml:space="preserve">Waynesboro</t>
  </si>
  <si>
    <t xml:space="preserve">51193</t>
  </si>
  <si>
    <t xml:space="preserve">51830</t>
  </si>
  <si>
    <t xml:space="preserve">Williamsburg</t>
  </si>
  <si>
    <t xml:space="preserve">51840</t>
  </si>
  <si>
    <t xml:space="preserve">Winchester</t>
  </si>
  <si>
    <t xml:space="preserve">51195</t>
  </si>
  <si>
    <t xml:space="preserve">Wise</t>
  </si>
  <si>
    <t xml:space="preserve">51197</t>
  </si>
  <si>
    <t xml:space="preserve">Wythe</t>
  </si>
  <si>
    <t xml:space="preserve">51199</t>
  </si>
  <si>
    <t xml:space="preserve">54001</t>
  </si>
  <si>
    <t xml:space="preserve">Barbour</t>
  </si>
  <si>
    <t xml:space="preserve">54003</t>
  </si>
  <si>
    <t xml:space="preserve">Berkeley</t>
  </si>
  <si>
    <t xml:space="preserve">54005</t>
  </si>
  <si>
    <t xml:space="preserve">Boone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</si>
  <si>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</si>
  <si>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</si>
  <si>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</si>
  <si>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</si>
  <si>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</si>
  <si>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</si>
  <si>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</si>
  <si>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Calhoun</t>
  </si>
  <si>
    <t xml:space="preserve">54015</t>
  </si>
  <si>
    <t xml:space="preserve">Clay</t>
  </si>
  <si>
    <t xml:space="preserve">54017</t>
  </si>
  <si>
    <t xml:space="preserve">Doddridge</t>
  </si>
  <si>
    <t xml:space="preserve">54019</t>
  </si>
  <si>
    <t xml:space="preserve">54021</t>
  </si>
  <si>
    <t xml:space="preserve">Gilmer</t>
  </si>
  <si>
    <t xml:space="preserve">54023</t>
  </si>
  <si>
    <t xml:space="preserve">Grant</t>
  </si>
  <si>
    <t xml:space="preserve">54025</t>
  </si>
  <si>
    <t xml:space="preserve">Greenbrier</t>
  </si>
  <si>
    <t xml:space="preserve">54027</t>
  </si>
  <si>
    <t xml:space="preserve">Hampshire</t>
  </si>
  <si>
    <t xml:space="preserve">54029</t>
  </si>
  <si>
    <t xml:space="preserve">Hancock</t>
  </si>
  <si>
    <t xml:space="preserve">54031</t>
  </si>
  <si>
    <t xml:space="preserve">Hardy</t>
  </si>
  <si>
    <t xml:space="preserve">54033</t>
  </si>
  <si>
    <t xml:space="preserve">Harrison</t>
  </si>
  <si>
    <t xml:space="preserve">54035</t>
  </si>
  <si>
    <t xml:space="preserve">Jackson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</si>
  <si>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</si>
  <si>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</si>
  <si>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</si>
  <si>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</si>
  <si>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</si>
  <si>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Lincoln</t>
  </si>
  <si>
    <t xml:space="preserve">54045</t>
  </si>
  <si>
    <t xml:space="preserve">Logan</t>
  </si>
  <si>
    <t xml:space="preserve">54049</t>
  </si>
  <si>
    <t xml:space="preserve">Marion</t>
  </si>
  <si>
    <t xml:space="preserve">54051</t>
  </si>
  <si>
    <t xml:space="preserve">Marshall</t>
  </si>
  <si>
    <t xml:space="preserve">54053</t>
  </si>
  <si>
    <t xml:space="preserve">Mason</t>
  </si>
  <si>
    <t xml:space="preserve">54047</t>
  </si>
  <si>
    <t xml:space="preserve">McDowell</t>
  </si>
  <si>
    <t xml:space="preserve">54055</t>
  </si>
  <si>
    <t xml:space="preserve">54057</t>
  </si>
  <si>
    <t xml:space="preserve">Mineral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</si>
  <si>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</si>
  <si>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</si>
  <si>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</si>
  <si>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</si>
  <si>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</si>
  <si>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</si>
  <si>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Morgan</t>
  </si>
  <si>
    <t xml:space="preserve">54067</t>
  </si>
  <si>
    <t xml:space="preserve">Nicholas</t>
  </si>
  <si>
    <t xml:space="preserve">54069</t>
  </si>
  <si>
    <t xml:space="preserve">Ohio</t>
  </si>
  <si>
    <t xml:space="preserve">54071</t>
  </si>
  <si>
    <t xml:space="preserve">Pendleton</t>
  </si>
  <si>
    <t xml:space="preserve">54073</t>
  </si>
  <si>
    <t xml:space="preserve">Pleasants</t>
  </si>
  <si>
    <t xml:space="preserve">54075</t>
  </si>
  <si>
    <t xml:space="preserve">Pocahontas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</si>
  <si>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</si>
  <si>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</si>
  <si>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</si>
  <si>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</si>
  <si>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</si>
  <si>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</si>
  <si>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Randolph</t>
  </si>
  <si>
    <t xml:space="preserve">54085</t>
  </si>
  <si>
    <t xml:space="preserve">Ritchie</t>
  </si>
  <si>
    <t xml:space="preserve">54087</t>
  </si>
  <si>
    <t xml:space="preserve">Roane</t>
  </si>
  <si>
    <t xml:space="preserve">54089</t>
  </si>
  <si>
    <t xml:space="preserve">Summers</t>
  </si>
  <si>
    <t xml:space="preserve">54091</t>
  </si>
  <si>
    <t xml:space="preserve">Taylor</t>
  </si>
  <si>
    <t xml:space="preserve">54093</t>
  </si>
  <si>
    <t xml:space="preserve">Tucker</t>
  </si>
  <si>
    <t xml:space="preserve">54095</t>
  </si>
  <si>
    <t xml:space="preserve">Tyler</t>
  </si>
  <si>
    <t xml:space="preserve">54097</t>
  </si>
  <si>
    <t xml:space="preserve">Upshur</t>
  </si>
  <si>
    <t xml:space="preserve">54099</t>
  </si>
  <si>
    <t xml:space="preserve">54101</t>
  </si>
  <si>
    <t xml:space="preserve">Webster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</si>
  <si>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</si>
  <si>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</si>
  <si>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</si>
  <si>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</si>
  <si>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</si>
  <si>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Wood</t>
  </si>
  <si>
    <t xml:space="preserve">54109</t>
  </si>
  <si>
    <t xml:space="preserve">Medicare prescriptions per stand-alone pharmacy, 2024</t>
  </si>
  <si>
    <t xml:space="preserve">Sources: CMS Medicare Part D Prescribers by Geography and Drug (state level, 2024); BLS Quarterly Census of Employment and Wages (pharmacies and drug stores, NAICS 446110/456110) (2024 average of quarterly counts); CDC/ATSDR Social Vulnerability Index 2022 (county).</t>
  </si>
  <si>
    <t xml:space="preserve">Medicare 30-day fills 2024</t>
  </si>
  <si>
    <t xml:space="preserve">Pharmacies 2024 (avg)</t>
  </si>
  <si>
    <t xml:space="preserve">Fills per pharmacy</t>
  </si>
  <si>
    <t xml:space="preserve">Pay and jobs per pharmacy, United States</t>
  </si>
  <si>
    <t xml:space="preserve">Source: BLS Quarterly Census of Employment and Wages (pharmacies and drug stores, NAICS 446110/456110), annual averages.</t>
  </si>
  <si>
    <t xml:space="preserve">Total pay ($)</t>
  </si>
  <si>
    <t xml:space="preserve">Average pay per job ($)</t>
  </si>
  <si>
    <t xml:space="preserve">Pay per pharmacy ($)</t>
  </si>
  <si>
    <t xml:space="preserve">Jobs per pharmacy</t>
  </si>
  <si>
    <t xml:space="preserve">Pay per pharmacy vs 2014</t>
  </si>
  <si>
    <t xml:space="preserve">One stand-alone pharmacy's year (change the blue inputs)</t>
  </si>
  <si>
    <t xml:space="preserve">Defaults: see column C. Rent and other costs are an assumption, not a published figure.</t>
  </si>
  <si>
    <t xml:space="preserve">Item</t>
  </si>
  <si>
    <t xml:space="preserve">Value</t>
  </si>
  <si>
    <t xml:space="preserve">Where the default comes from</t>
  </si>
  <si>
    <t xml:space="preserve">Prescriptions per day</t>
  </si>
  <si>
    <t xml:space="preserve">NCPA 2026 Digest: 65,795 prescriptions per independent pharmacy in 2025, divided by 365</t>
  </si>
  <si>
    <t xml:space="preserve">Revenue per prescription ($)</t>
  </si>
  <si>
    <t xml:space="preserve">NCPA 2024 Digest: $94.9 billion market, 96% from prescriptions, 19,432 stores x 59,644 prescriptions (2023)</t>
  </si>
  <si>
    <t xml:space="preserve">Gross margin (share of revenue kept after the drug cost)</t>
  </si>
  <si>
    <t xml:space="preserve">NCPA 2024 Digest: 19.7% gross margin in 2023, lowest in ten years</t>
  </si>
  <si>
    <t xml:space="preserve">Payroll per year ($)</t>
  </si>
  <si>
    <t xml:space="preserve">BLS QCEW 2025: total pay in pharmacies and drug stores divided by the number of them</t>
  </si>
  <si>
    <t xml:space="preserve">Rent and other costs per year ($)</t>
  </si>
  <si>
    <t xml:space="preserve">Assumption: rent, utilities, insurance, software, delivery. Not published; adjust it</t>
  </si>
  <si>
    <t xml:space="preserve">Days open per year</t>
  </si>
  <si>
    <t xml:space="preserve">Assumption: open every day</t>
  </si>
  <si>
    <t xml:space="preserve">Gross profit per prescription ($)</t>
  </si>
  <si>
    <t xml:space="preserve">Prescriptions per year</t>
  </si>
  <si>
    <t xml:space="preserve">Revenue per year ($)</t>
  </si>
  <si>
    <t xml:space="preserve">Gross profit per year ($)</t>
  </si>
  <si>
    <t xml:space="preserve">Fixed costs per year ($)</t>
  </si>
  <si>
    <t xml:space="preserve">Profit before tax ($)</t>
  </si>
  <si>
    <t xml:space="preserve">Profit as share of revenue</t>
  </si>
  <si>
    <t xml:space="preserve">Prescriptions per day needed to break even</t>
  </si>
  <si>
    <t xml:space="preserve">Profit change if paid $1 less per prescription ($)</t>
  </si>
  <si>
    <t xml:space="preserve">Profit before tax ($) by prescriptions per day (rows) and revenue per prescription (columns)</t>
  </si>
  <si>
    <t xml:space="preserve">Industry benchmarks</t>
  </si>
  <si>
    <t xml:space="preserve">Sources: NCPA Digest (2024, 2025, 2026 editions), Walgreens fiscal 2024 results and 10-K, CVS fiscal 2025 10-K and Q4 2025 results, BLS OEWS May 2025.</t>
  </si>
  <si>
    <t xml:space="preserve">Measure</t>
  </si>
  <si>
    <t xml:space="preserve">Independent pharmacies (count)</t>
  </si>
  <si>
    <t xml:space="preserve">2023</t>
  </si>
  <si>
    <t xml:space="preserve">https://hmenews.com/article/ncpa-report-shows-ominous-amount-of-pressure</t>
  </si>
  <si>
    <t xml:space="preserve">Prescriptions per independent pharmacy per year</t>
  </si>
  <si>
    <t xml:space="preserve">Independent pharmacy market ($ billions)</t>
  </si>
  <si>
    <t xml:space="preserve">Independent pharmacy gross margin</t>
  </si>
  <si>
    <t xml:space="preserve">2024</t>
  </si>
  <si>
    <t xml:space="preserve">https://ncpa.org/newsroom/news-releases/2025/10/19/ncpa-releases-2025-digest-report</t>
  </si>
  <si>
    <t xml:space="preserve">https://www.pharmacytimes.com/view/ncpa-releases-2026-digest-report</t>
  </si>
  <si>
    <t xml:space="preserve">Walgreens US Retail Pharmacy sales ($ billions)</t>
  </si>
  <si>
    <t xml:space="preserve">FY2023</t>
  </si>
  <si>
    <t xml:space="preserve">https://www.sec.gov/Archives/edgar/data/1618921/000119312524237203/d870298dex991.htm</t>
  </si>
  <si>
    <t xml:space="preserve">Walgreens US Retail Pharmacy adjusted operating income ($ billions)</t>
  </si>
  <si>
    <t xml:space="preserve">FY2024</t>
  </si>
  <si>
    <t xml:space="preserve">Walgreens prescriptions, 30-day adjusted (billions)</t>
  </si>
  <si>
    <t xml:space="preserve">https://www.sec.gov/Archives/edgar/data/1618921/000161892124000084/wba-20240831.htm</t>
  </si>
  <si>
    <t xml:space="preserve">Walgreens US locations</t>
  </si>
  <si>
    <t xml:space="preserve">CVS prescriptions, 30-day equivalent (billions)</t>
  </si>
  <si>
    <t xml:space="preserve">https://www.sec.gov/Archives/edgar/data/64803/000006480326000010/cvs-20251231.htm</t>
  </si>
  <si>
    <t xml:space="preserve">CVS share of US retail prescriptions</t>
  </si>
  <si>
    <t xml:space="preserve">CVS stores closed in 2025</t>
  </si>
  <si>
    <t xml:space="preserve">Mean annual wage, pharmacist, US</t>
  </si>
  <si>
    <t xml:space="preserve">https://www.bls.gov/oes/</t>
  </si>
  <si>
    <t xml:space="preserve">Mean annual wage, pharmacist, PA</t>
  </si>
  <si>
    <t xml:space="preserve">Mean annual wage, pharmacist, MD</t>
  </si>
  <si>
    <t xml:space="preserve">Mean annual wage, pharmacist, NY</t>
  </si>
  <si>
    <t xml:space="preserve">Mean annual wage, pharmacist, VA</t>
  </si>
  <si>
    <t xml:space="preserve">Mean annual wage, pharmacist, NJ</t>
  </si>
  <si>
    <t xml:space="preserve">Mean annual wage, pharmacist, DE</t>
  </si>
  <si>
    <t xml:space="preserve">Mean annual wage, pharmacist, WV</t>
  </si>
  <si>
    <t xml:space="preserve">Mean annual wage, technician, US</t>
  </si>
  <si>
    <t xml:space="preserve">Mean annual wage, technician, PA</t>
  </si>
  <si>
    <t xml:space="preserve">Mean annual wage, technician, MD</t>
  </si>
  <si>
    <t xml:space="preserve">Mean annual wage, technician, NY</t>
  </si>
  <si>
    <t xml:space="preserve">Mean annual wage, technician, VA</t>
  </si>
  <si>
    <t xml:space="preserve">Mean annual wage, technician, NJ</t>
  </si>
  <si>
    <t xml:space="preserve">Mean annual wage, technician, DE</t>
  </si>
  <si>
    <t xml:space="preserve">Mean annual wage, technician, WV</t>
  </si>
  <si>
    <t xml:space="preserve">Walgreens adjusted operating margin, FY2023</t>
  </si>
  <si>
    <t xml:space="preserve">Walgreens adjusted operating margin, FY2024</t>
  </si>
  <si>
    <t xml:space="preserve">Walgreens adjusted operating income per 30-day prescription, FY2024 ($)</t>
  </si>
  <si>
    <t xml:space="preserve">Weis Markets: selected financials ($ millions)</t>
  </si>
  <si>
    <t xml:space="preserve">Sources: Weis Markets Form 10-K, fiscal 2025; SEC XBRL company facts for Weis Markets (cash, securities, capex, cash flow); Weis Markets second quarter 2026 results. $ millions. 2023-2025 operating and net income as restated in the fiscal 2025 annual report; 2021-2022 operating income as first reported.</t>
  </si>
  <si>
    <t xml:space="preserve">2021</t>
  </si>
  <si>
    <t xml:space="preserve">2022</t>
  </si>
  <si>
    <t xml:space="preserve">Net sales</t>
  </si>
  <si>
    <t xml:space="preserve">Pharmacy share of net sales</t>
  </si>
  <si>
    <t xml:space="preserve">Operating income</t>
  </si>
  <si>
    <t xml:space="preserve">Net income</t>
  </si>
  <si>
    <t xml:space="preserve">Gross margin</t>
  </si>
  <si>
    <t xml:space="preserve">Cash and cash equivalents</t>
  </si>
  <si>
    <t xml:space="preserve">Marketable securities</t>
  </si>
  <si>
    <t xml:space="preserve">Cash from operations</t>
  </si>
  <si>
    <t xml:space="preserve">Capital spending</t>
  </si>
  <si>
    <t xml:space="preserve">Depreciation and amortization</t>
  </si>
  <si>
    <t xml:space="preserve">Pharmacy sales (derived)</t>
  </si>
  <si>
    <t xml:space="preserve">Operating margin</t>
  </si>
  <si>
    <t xml:space="preserve">Cash plus marketable securities</t>
  </si>
  <si>
    <t xml:space="preserve">Cash from operations minus capital spending</t>
  </si>
  <si>
    <t xml:space="preserve">First half of 2026</t>
  </si>
  <si>
    <t xml:space="preserve">Revenue ($ billions)</t>
  </si>
  <si>
    <t xml:space="preserve">Revenue growth vs first half 2025</t>
  </si>
  <si>
    <t xml:space="preserve">Pharmacy revenue lost to Medicare negotiated prices</t>
  </si>
  <si>
    <t xml:space="preserve">Cash and cash equivalents (June 27, 2026)</t>
  </si>
  <si>
    <t xml:space="preserve">Marketable securities (June 27, 2026)</t>
  </si>
  <si>
    <t xml:space="preserve">Pharmacies registered to Weis Markets</t>
  </si>
  <si>
    <t xml:space="preserve">Source: CMS NPPES NPI Registry (pharmacies registered to Weis Markets) (https://npiregistry.cms.hhs.gov/); county from US Census Geocoder and ZCTA-county relationship file. Active registrations; a registration can outlive a closed counter.</t>
  </si>
  <si>
    <t xml:space="preserve">NPI</t>
  </si>
  <si>
    <t xml:space="preserve">City</t>
  </si>
  <si>
    <t xml:space="preserve">County FIPS</t>
  </si>
  <si>
    <t xml:space="preserve">1679446520</t>
  </si>
  <si>
    <t xml:space="preserve">Middletown</t>
  </si>
  <si>
    <t xml:space="preserve">1669314118</t>
  </si>
  <si>
    <t xml:space="preserve">Millsboro</t>
  </si>
  <si>
    <t xml:space="preserve">1619900941</t>
  </si>
  <si>
    <t xml:space="preserve">1427081751</t>
  </si>
  <si>
    <t xml:space="preserve">Bel Air</t>
  </si>
  <si>
    <t xml:space="preserve">1063445393</t>
  </si>
  <si>
    <t xml:space="preserve">Boonsboro</t>
  </si>
  <si>
    <t xml:space="preserve">1497272728</t>
  </si>
  <si>
    <t xml:space="preserve">1194217356</t>
  </si>
  <si>
    <t xml:space="preserve">Callaway</t>
  </si>
  <si>
    <t xml:space="preserve">1154218279</t>
  </si>
  <si>
    <t xml:space="preserve">Charlotte Hall</t>
  </si>
  <si>
    <t xml:space="preserve">1164455499</t>
  </si>
  <si>
    <t xml:space="preserve">Damascus</t>
  </si>
  <si>
    <t xml:space="preserve">1396197760</t>
  </si>
  <si>
    <t xml:space="preserve">Dundalk</t>
  </si>
  <si>
    <t xml:space="preserve">1396195418</t>
  </si>
  <si>
    <t xml:space="preserve">1376993378</t>
  </si>
  <si>
    <t xml:space="preserve">1336173210</t>
  </si>
  <si>
    <t xml:space="preserve">1083647317</t>
  </si>
  <si>
    <t xml:space="preserve">1003841040</t>
  </si>
  <si>
    <t xml:space="preserve">1336172667</t>
  </si>
  <si>
    <t xml:space="preserve">Hagerstown</t>
  </si>
  <si>
    <t xml:space="preserve">1629248794</t>
  </si>
  <si>
    <t xml:space="preserve">1255364584</t>
  </si>
  <si>
    <t xml:space="preserve">Hampstead</t>
  </si>
  <si>
    <t xml:space="preserve">1982637211</t>
  </si>
  <si>
    <t xml:space="preserve">Havre De Grace</t>
  </si>
  <si>
    <t xml:space="preserve">1578361895</t>
  </si>
  <si>
    <t xml:space="preserve">Ijamsville</t>
  </si>
  <si>
    <t xml:space="preserve">1700819034</t>
  </si>
  <si>
    <t xml:space="preserve">Laurel</t>
  </si>
  <si>
    <t xml:space="preserve">1912932955</t>
  </si>
  <si>
    <t xml:space="preserve">1790270981</t>
  </si>
  <si>
    <t xml:space="preserve">Lusby</t>
  </si>
  <si>
    <t xml:space="preserve">1346273679</t>
  </si>
  <si>
    <t xml:space="preserve">Mount Airy</t>
  </si>
  <si>
    <t xml:space="preserve">1619478922</t>
  </si>
  <si>
    <t xml:space="preserve">Nottingham</t>
  </si>
  <si>
    <t xml:space="preserve">1609809938</t>
  </si>
  <si>
    <t xml:space="preserve">Pasadena</t>
  </si>
  <si>
    <t xml:space="preserve">1154354488</t>
  </si>
  <si>
    <t xml:space="preserve">Perry Hall</t>
  </si>
  <si>
    <t xml:space="preserve">1326545542</t>
  </si>
  <si>
    <t xml:space="preserve">Reisterstown</t>
  </si>
  <si>
    <t xml:space="preserve">1154411106</t>
  </si>
  <si>
    <t xml:space="preserve">Thurmont</t>
  </si>
  <si>
    <t xml:space="preserve">1609739366</t>
  </si>
  <si>
    <t xml:space="preserve">Waldorf</t>
  </si>
  <si>
    <t xml:space="preserve">1891728127</t>
  </si>
  <si>
    <t xml:space="preserve">Westminster</t>
  </si>
  <si>
    <t xml:space="preserve">1245263573</t>
  </si>
  <si>
    <t xml:space="preserve">Woodstock</t>
  </si>
  <si>
    <t xml:space="preserve">1881627115</t>
  </si>
  <si>
    <t xml:space="preserve">1972536209</t>
  </si>
  <si>
    <t xml:space="preserve">Newton</t>
  </si>
  <si>
    <t xml:space="preserve">1982910774</t>
  </si>
  <si>
    <t xml:space="preserve">Binghamton</t>
  </si>
  <si>
    <t xml:space="preserve">1699708925</t>
  </si>
  <si>
    <t xml:space="preserve">Elmira</t>
  </si>
  <si>
    <t xml:space="preserve">1386974293</t>
  </si>
  <si>
    <t xml:space="preserve">Vestal</t>
  </si>
  <si>
    <t xml:space="preserve">1467485797</t>
  </si>
  <si>
    <t xml:space="preserve">Allentown</t>
  </si>
  <si>
    <t xml:space="preserve">1104859438</t>
  </si>
  <si>
    <t xml:space="preserve">1538194576</t>
  </si>
  <si>
    <t xml:space="preserve">Altoona</t>
  </si>
  <si>
    <t xml:space="preserve">1235408709</t>
  </si>
  <si>
    <t xml:space="preserve">Bellefonte</t>
  </si>
  <si>
    <t xml:space="preserve">1144253477</t>
  </si>
  <si>
    <t xml:space="preserve">Berwick</t>
  </si>
  <si>
    <t xml:space="preserve">1871176867</t>
  </si>
  <si>
    <t xml:space="preserve">Bethlehem</t>
  </si>
  <si>
    <t xml:space="preserve">1215960547</t>
  </si>
  <si>
    <t xml:space="preserve">Bloomsburg</t>
  </si>
  <si>
    <t xml:space="preserve">1811920143</t>
  </si>
  <si>
    <t xml:space="preserve">Brodheadsville</t>
  </si>
  <si>
    <t xml:space="preserve">1306879630</t>
  </si>
  <si>
    <t xml:space="preserve">Burnham</t>
  </si>
  <si>
    <t xml:space="preserve">1720011067</t>
  </si>
  <si>
    <t xml:space="preserve">Camp Hill</t>
  </si>
  <si>
    <t xml:space="preserve">1316970643</t>
  </si>
  <si>
    <t xml:space="preserve">Carlisle</t>
  </si>
  <si>
    <t xml:space="preserve">1902839236</t>
  </si>
  <si>
    <t xml:space="preserve">Chambersburg</t>
  </si>
  <si>
    <t xml:space="preserve">1861425191</t>
  </si>
  <si>
    <t xml:space="preserve">Clarks Summit</t>
  </si>
  <si>
    <t xml:space="preserve">1205195757</t>
  </si>
  <si>
    <t xml:space="preserve">Conshohocken</t>
  </si>
  <si>
    <t xml:space="preserve">1215188594</t>
  </si>
  <si>
    <t xml:space="preserve">Dallas</t>
  </si>
  <si>
    <t xml:space="preserve">1780290197</t>
  </si>
  <si>
    <t xml:space="preserve">Dingmans Ferry</t>
  </si>
  <si>
    <t xml:space="preserve">1578596805</t>
  </si>
  <si>
    <t xml:space="preserve">Dover</t>
  </si>
  <si>
    <t xml:space="preserve">1548293871</t>
  </si>
  <si>
    <t xml:space="preserve">Duryea</t>
  </si>
  <si>
    <t xml:space="preserve">1700335726</t>
  </si>
  <si>
    <t xml:space="preserve">East Berlin</t>
  </si>
  <si>
    <t xml:space="preserve">1376576603</t>
  </si>
  <si>
    <t xml:space="preserve">East Stroudsburg</t>
  </si>
  <si>
    <t xml:space="preserve">1588953541</t>
  </si>
  <si>
    <t xml:space="preserve">Easton</t>
  </si>
  <si>
    <t xml:space="preserve">1679506901</t>
  </si>
  <si>
    <t xml:space="preserve">1740213073</t>
  </si>
  <si>
    <t xml:space="preserve">Elizabethtown</t>
  </si>
  <si>
    <t xml:space="preserve">1770516007</t>
  </si>
  <si>
    <t xml:space="preserve">Emmaus</t>
  </si>
  <si>
    <t xml:space="preserve">1720522246</t>
  </si>
  <si>
    <t xml:space="preserve">Enola</t>
  </si>
  <si>
    <t xml:space="preserve">1942233275</t>
  </si>
  <si>
    <t xml:space="preserve">Ephrata</t>
  </si>
  <si>
    <t xml:space="preserve">1518211135</t>
  </si>
  <si>
    <t xml:space="preserve">Fogelsville</t>
  </si>
  <si>
    <t xml:space="preserve">1093748329</t>
  </si>
  <si>
    <t xml:space="preserve">Gap</t>
  </si>
  <si>
    <t xml:space="preserve">1962435297</t>
  </si>
  <si>
    <t xml:space="preserve">Hamburg</t>
  </si>
  <si>
    <t xml:space="preserve">1841223179</t>
  </si>
  <si>
    <t xml:space="preserve">Hamlin</t>
  </si>
  <si>
    <t xml:space="preserve">1942686936</t>
  </si>
  <si>
    <t xml:space="preserve">1407889736</t>
  </si>
  <si>
    <t xml:space="preserve">1487687711</t>
  </si>
  <si>
    <t xml:space="preserve">Harrisburg</t>
  </si>
  <si>
    <t xml:space="preserve">1205869534</t>
  </si>
  <si>
    <t xml:space="preserve">1396778627</t>
  </si>
  <si>
    <t xml:space="preserve">Hazleton</t>
  </si>
  <si>
    <t xml:space="preserve">1568825743</t>
  </si>
  <si>
    <t xml:space="preserve">Honesdale</t>
  </si>
  <si>
    <t xml:space="preserve">1952334286</t>
  </si>
  <si>
    <t xml:space="preserve">1497788723</t>
  </si>
  <si>
    <t xml:space="preserve">Jersey Shore</t>
  </si>
  <si>
    <t xml:space="preserve">1437333556</t>
  </si>
  <si>
    <t xml:space="preserve">Kutztown</t>
  </si>
  <si>
    <t xml:space="preserve">1124051453</t>
  </si>
  <si>
    <t xml:space="preserve">1184659120</t>
  </si>
  <si>
    <t xml:space="preserve">1225061559</t>
  </si>
  <si>
    <t xml:space="preserve">1851324180</t>
  </si>
  <si>
    <t xml:space="preserve">1801821848</t>
  </si>
  <si>
    <t xml:space="preserve">1912930249</t>
  </si>
  <si>
    <t xml:space="preserve">1922032804</t>
  </si>
  <si>
    <t xml:space="preserve">1023041357</t>
  </si>
  <si>
    <t xml:space="preserve">Lewisburg</t>
  </si>
  <si>
    <t xml:space="preserve">1871526103</t>
  </si>
  <si>
    <t xml:space="preserve">Lititz</t>
  </si>
  <si>
    <t xml:space="preserve">1235162561</t>
  </si>
  <si>
    <t xml:space="preserve">Lock Haven</t>
  </si>
  <si>
    <t xml:space="preserve">1457384786</t>
  </si>
  <si>
    <t xml:space="preserve">Macungie</t>
  </si>
  <si>
    <t xml:space="preserve">1053344382</t>
  </si>
  <si>
    <t xml:space="preserve">Mechanicsburg</t>
  </si>
  <si>
    <t xml:space="preserve">1548293889</t>
  </si>
  <si>
    <t xml:space="preserve">1801829148</t>
  </si>
  <si>
    <t xml:space="preserve">Mifflinburg</t>
  </si>
  <si>
    <t xml:space="preserve">1659304988</t>
  </si>
  <si>
    <t xml:space="preserve">Mifflintown</t>
  </si>
  <si>
    <t xml:space="preserve">1922031251</t>
  </si>
  <si>
    <t xml:space="preserve">Mill Hall</t>
  </si>
  <si>
    <t xml:space="preserve">1639102965</t>
  </si>
  <si>
    <t xml:space="preserve">Milton</t>
  </si>
  <si>
    <t xml:space="preserve">1659879385</t>
  </si>
  <si>
    <t xml:space="preserve">1639102973</t>
  </si>
  <si>
    <t xml:space="preserve">Montoursville</t>
  </si>
  <si>
    <t xml:space="preserve">1780617019</t>
  </si>
  <si>
    <t xml:space="preserve">Mount Joy</t>
  </si>
  <si>
    <t xml:space="preserve">1821299827</t>
  </si>
  <si>
    <t xml:space="preserve">Mountain Top</t>
  </si>
  <si>
    <t xml:space="preserve">1457384794</t>
  </si>
  <si>
    <t xml:space="preserve">Muncy</t>
  </si>
  <si>
    <t xml:space="preserve">1811920150</t>
  </si>
  <si>
    <t xml:space="preserve">Nanticoke</t>
  </si>
  <si>
    <t xml:space="preserve">1689607913</t>
  </si>
  <si>
    <t xml:space="preserve">Newport</t>
  </si>
  <si>
    <t xml:space="preserve">1265791727</t>
  </si>
  <si>
    <t xml:space="preserve">Norristown</t>
  </si>
  <si>
    <t xml:space="preserve">1114950441</t>
  </si>
  <si>
    <t xml:space="preserve">Oley</t>
  </si>
  <si>
    <t xml:space="preserve">1447556915</t>
  </si>
  <si>
    <t xml:space="preserve">Palmyra</t>
  </si>
  <si>
    <t xml:space="preserve">1487805768</t>
  </si>
  <si>
    <t xml:space="preserve">Pen Argyl</t>
  </si>
  <si>
    <t xml:space="preserve">1144870445</t>
  </si>
  <si>
    <t xml:space="preserve">Perkasie</t>
  </si>
  <si>
    <t xml:space="preserve">1366475600</t>
  </si>
  <si>
    <t xml:space="preserve">Philipsburg</t>
  </si>
  <si>
    <t xml:space="preserve">1285667519</t>
  </si>
  <si>
    <t xml:space="preserve">Pottsville</t>
  </si>
  <si>
    <t xml:space="preserve">1033142369</t>
  </si>
  <si>
    <t xml:space="preserve">Reading</t>
  </si>
  <si>
    <t xml:space="preserve">1184657413</t>
  </si>
  <si>
    <t xml:space="preserve">Red Lion</t>
  </si>
  <si>
    <t xml:space="preserve">1508899832</t>
  </si>
  <si>
    <t xml:space="preserve">Schnecksville</t>
  </si>
  <si>
    <t xml:space="preserve">1134152465</t>
  </si>
  <si>
    <t xml:space="preserve">Selinsgrove</t>
  </si>
  <si>
    <t xml:space="preserve">1598798829</t>
  </si>
  <si>
    <t xml:space="preserve">Shamokin</t>
  </si>
  <si>
    <t xml:space="preserve">1720011059</t>
  </si>
  <si>
    <t xml:space="preserve">Shippensburg</t>
  </si>
  <si>
    <t xml:space="preserve">1750314084</t>
  </si>
  <si>
    <t xml:space="preserve">State College</t>
  </si>
  <si>
    <t xml:space="preserve">1700142536</t>
  </si>
  <si>
    <t xml:space="preserve">Sunbury</t>
  </si>
  <si>
    <t xml:space="preserve">1326071655</t>
  </si>
  <si>
    <t xml:space="preserve">1316153430</t>
  </si>
  <si>
    <t xml:space="preserve">Tannersville</t>
  </si>
  <si>
    <t xml:space="preserve">1528548427</t>
  </si>
  <si>
    <t xml:space="preserve">Tunkhannock</t>
  </si>
  <si>
    <t xml:space="preserve">1649203977</t>
  </si>
  <si>
    <t xml:space="preserve">Wellsboro</t>
  </si>
  <si>
    <t xml:space="preserve">1770872731</t>
  </si>
  <si>
    <t xml:space="preserve">West Lawn</t>
  </si>
  <si>
    <t xml:space="preserve">1366475691</t>
  </si>
  <si>
    <t xml:space="preserve">Whitehall</t>
  </si>
  <si>
    <t xml:space="preserve">1992730931</t>
  </si>
  <si>
    <t xml:space="preserve">Williamsport</t>
  </si>
  <si>
    <t xml:space="preserve">1043243371</t>
  </si>
  <si>
    <t xml:space="preserve">1669405999</t>
  </si>
  <si>
    <t xml:space="preserve">Willow Street</t>
  </si>
  <si>
    <t xml:space="preserve">1760415095</t>
  </si>
  <si>
    <t xml:space="preserve">1710912753</t>
  </si>
  <si>
    <t xml:space="preserve">1932132263</t>
  </si>
  <si>
    <t xml:space="preserve">1588697817</t>
  </si>
  <si>
    <t xml:space="preserve">1629001961</t>
  </si>
  <si>
    <t xml:space="preserve">Martinsburg</t>
  </si>
  <si>
    <t xml:space="preserve">1205423498</t>
  </si>
  <si>
    <t xml:space="preserve">1538192877</t>
  </si>
  <si>
    <t xml:space="preserve">Ranson</t>
  </si>
  <si>
    <t xml:space="preserve">Total</t>
  </si>
  <si>
    <t xml:space="preserve">All links checked on 2026-10-20</t>
  </si>
  <si>
    <t xml:space="preserve">Key</t>
  </si>
  <si>
    <t xml:space="preserve">Link</t>
  </si>
  <si>
    <t xml:space="preserve">qcew</t>
  </si>
  <si>
    <t xml:space="preserve">BLS Quarterly Census of Employment and Wages (pharmacies and drug stores, NAICS 446110/456110)</t>
  </si>
  <si>
    <t xml:space="preserve">https://www.bls.gov/cew/</t>
  </si>
  <si>
    <t xml:space="preserve">partd</t>
  </si>
  <si>
    <t xml:space="preserve">CMS Medicare Part D Prescribers by Geography and Drug</t>
  </si>
  <si>
    <t xml:space="preserve">https://data.cms.gov/provider-summary-by-type-of-service/medicare-part-d-prescribers/medicare-part-d-prescribers-by-geography-and-drug</t>
  </si>
  <si>
    <t xml:space="preserve">svi</t>
  </si>
  <si>
    <t xml:space="preserve">CDC/ATSDR Social Vulnerability Index 2022 (county)</t>
  </si>
  <si>
    <t xml:space="preserve">https://www.atsdr.cdc.gov/place-health/php/svi/index.html</t>
  </si>
  <si>
    <t xml:space="preserve">places</t>
  </si>
  <si>
    <t xml:space="preserve">CDC PLACES: Local Data for Better Health, County Data, 2025 release</t>
  </si>
  <si>
    <t xml:space="preserve">https://data.cdc.gov/500-Cities-Places/PLACES-Local-Data-for-Better-Health-County-Data-20/swc5-untb</t>
  </si>
  <si>
    <t xml:space="preserve">oews</t>
  </si>
  <si>
    <t xml:space="preserve">BLS Occupational Employment and Wage Statistics (pharmacists, pharmacy technicians), May 2025</t>
  </si>
  <si>
    <t xml:space="preserve">npi</t>
  </si>
  <si>
    <t xml:space="preserve">CMS NPPES NPI Registry (pharmacies registered to Weis Markets)</t>
  </si>
  <si>
    <t xml:space="preserve">https://npiregistry.cms.hhs.gov/</t>
  </si>
  <si>
    <t xml:space="preserve">geocoder</t>
  </si>
  <si>
    <t xml:space="preserve">US Census Geocoder and ZCTA-county relationship file</t>
  </si>
  <si>
    <t xml:space="preserve">https://geocoding.geo.census.gov/</t>
  </si>
  <si>
    <t xml:space="preserve">atlas</t>
  </si>
  <si>
    <t xml:space="preserve">US Atlas TopoJSON (county shapes from the Census Bureau)</t>
  </si>
  <si>
    <t xml:space="preserve">https://github.com/topojson/us-atlas</t>
  </si>
  <si>
    <t xml:space="preserve">hfn</t>
  </si>
  <si>
    <t xml:space="preserve">Healthcare Finance News: Rite Aid comes out of Chapter 11</t>
  </si>
  <si>
    <t xml:space="preserve">abc</t>
  </si>
  <si>
    <t xml:space="preserve">ABC7: Rite Aid closes all remaining stores after 63 years</t>
  </si>
  <si>
    <t xml:space="preserve">pymnts</t>
  </si>
  <si>
    <t xml:space="preserve">PYMNTS: CVS says it gained 9 million former Rite Aid customers</t>
  </si>
  <si>
    <t xml:space="preserve">inquirer</t>
  </si>
  <si>
    <t xml:space="preserve">Philadelphia Inquirer: Rite Aid pharmacies closed in Pennsylvania and New Jersey</t>
  </si>
  <si>
    <t xml:space="preserve">cvs271</t>
  </si>
  <si>
    <t xml:space="preserve">Retail TouchPoints: CVS plans to close 271 stores in 2025</t>
  </si>
  <si>
    <t xml:space="preserve">https://www.retailtouchpoints.com/news/cvs-plans-to-close-271-stores-in-2025-as-part-of-multi-year-savings-plan/152134/</t>
  </si>
  <si>
    <t xml:space="preserve">wba1200</t>
  </si>
  <si>
    <t xml:space="preserve">Walgreens fiscal 2024 results (8-K): about 1,200 closures over three years</t>
  </si>
  <si>
    <t xml:space="preserve">wba10k</t>
  </si>
  <si>
    <t xml:space="preserve">Walgreens Boots Alliance Form 10-K, fiscal 2024</t>
  </si>
  <si>
    <t xml:space="preserve">sycamore</t>
  </si>
  <si>
    <t xml:space="preserve">MarketBeat: Sycamore completes Walgreens take-private</t>
  </si>
  <si>
    <t xml:space="preserve">https://www.marketbeat.com/articles/sycamore-partners-finishes-deal-to-take-drugstore-chain-walgreens-private-2025-08-28</t>
  </si>
  <si>
    <t xml:space="preserve">cvs10k</t>
  </si>
  <si>
    <t xml:space="preserve">CVS Health Form 10-K, fiscal 2025</t>
  </si>
  <si>
    <t xml:space="preserve">cvsq4</t>
  </si>
  <si>
    <t xml:space="preserve">TIKR: CVS Health Q4 2025 earnings</t>
  </si>
  <si>
    <t xml:space="preserve">https://www.tikr.com/blog/cvs-health-q4-2025-earnings-strong-pharmacy-numbers-one-big-insurance-drag</t>
  </si>
  <si>
    <t xml:space="preserve">goodrx</t>
  </si>
  <si>
    <t xml:space="preserve">GoodRx Research: pharmacy deserts</t>
  </si>
  <si>
    <t xml:space="preserve">iqvia</t>
  </si>
  <si>
    <t xml:space="preserve">IQVIA Institute: US Medicine Use Trends 2026</t>
  </si>
  <si>
    <t xml:space="preserve">ftc</t>
  </si>
  <si>
    <t xml:space="preserve">Arnold &amp; Porter: FTC interim staff report on PBMs (July 2024)</t>
  </si>
  <si>
    <t xml:space="preserve">https://www.arnoldporter.com/en/perspectives/advisories/2024/07/ftc-interim-staff-report-on-prescription-drug-middlemen</t>
  </si>
  <si>
    <t xml:space="preserve">ncpa</t>
  </si>
  <si>
    <t xml:space="preserve">NCPA: Independents closing, 2025</t>
  </si>
  <si>
    <t xml:space="preserve">https://ncpa.org/sites/default/files/2026-01/IndependentsClosing_2025FlyerEdit_0.pdf</t>
  </si>
  <si>
    <t xml:space="preserve">ncpa2024</t>
  </si>
  <si>
    <t xml:space="preserve">HME News: NCPA 2024 Digest (2023 data)</t>
  </si>
  <si>
    <t xml:space="preserve">ncpa2025</t>
  </si>
  <si>
    <t xml:space="preserve">NCPA: 2025 Digest report (2024 data)</t>
  </si>
  <si>
    <t xml:space="preserve">ncpa2026</t>
  </si>
  <si>
    <t xml:space="preserve">Pharmacy Times: NCPA 2026 Digest report (2025 data)</t>
  </si>
  <si>
    <t xml:space="preserve">weis10k</t>
  </si>
  <si>
    <t xml:space="preserve">Weis Markets Form 10-K, fiscal 2025</t>
  </si>
  <si>
    <t xml:space="preserve">weisxbrl</t>
  </si>
  <si>
    <t xml:space="preserve">SEC XBRL company facts for Weis Markets (cash, securities, capex, cash flow)</t>
  </si>
  <si>
    <t xml:space="preserve">https://data.sec.gov/api/xbrl/companyconcept/CIK0000105418/us-gaap/PaymentsToAcquirePropertyPlantAndEquipment.json</t>
  </si>
  <si>
    <t xml:space="preserve">weisq2</t>
  </si>
  <si>
    <t xml:space="preserve">Weis Markets second quarter 2026 results</t>
  </si>
  <si>
    <t xml:space="preserve">iqviaa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</si>
</sst>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%;\(0%\);\-"/>
    <numFmt numFmtId="168" formatCode="0.0"/>
    <numFmt numFmtId="169" formatCode="#,##0.00"/>
    <numFmt numFmtId="170" formatCode="\$#,##0;&quot;($&quot;#,##0\);\-"/>
    <numFmt numFmtId="171" formatCode="\$#,##0.00"/>
    <numFmt numFmtId="172" formatCode="0"/>
    <numFmt numFmtId="173" formatCode="0.00"/>
    <numFmt numFmtId="174" formatCode="\$#,##0.0;&quot;($&quot;#,##0.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3EA"/>
        <bgColor rgb="FFFFF2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DE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A15" s="4" t="s">
        <v>24</v>
      </c>
      <c r="B15" s="5" t="s">
        <v>25</v>
      </c>
    </row>
    <row r="16" customFormat="false" ht="15" hidden="false" customHeight="false" outlineLevel="0" collapsed="false">
      <c r="A16" s="4" t="s">
        <v>26</v>
      </c>
      <c r="B16" s="5" t="s">
        <v>27</v>
      </c>
    </row>
    <row r="17" customFormat="false" ht="15" hidden="false" customHeight="false" outlineLevel="0" collapsed="false">
      <c r="A17" s="4" t="s">
        <v>28</v>
      </c>
      <c r="B17" s="5" t="s">
        <v>29</v>
      </c>
    </row>
    <row r="18" customFormat="false" ht="15" hidden="false" customHeight="false" outlineLevel="0" collapsed="false">
      <c r="A18" s="4" t="s">
        <v>30</v>
      </c>
      <c r="B18" s="5" t="s">
        <v>31</v>
      </c>
    </row>
    <row r="19" customFormat="false" ht="41.75" hidden="false" customHeight="false" outlineLevel="0" collapsed="false">
      <c r="A19" s="4" t="s">
        <v>32</v>
      </c>
      <c r="B19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3.8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</row>
    <row r="5" customFormat="false" ht="15" hidden="false" customHeight="false" outlineLevel="0" collapsed="false">
      <c r="A5" s="0" t="s">
        <v>41</v>
      </c>
      <c r="B5" s="6" t="n">
        <v>64043</v>
      </c>
      <c r="C5" s="6" t="n">
        <v>696896</v>
      </c>
      <c r="D5" s="7" t="n">
        <f aca="false">B5-$B$23</f>
        <v>-178</v>
      </c>
      <c r="E5" s="8" t="n">
        <f aca="false">B5/$B$23-1</f>
        <v>-0.00277167904579501</v>
      </c>
    </row>
    <row r="6" customFormat="false" ht="15" hidden="false" customHeight="false" outlineLevel="0" collapsed="false">
      <c r="A6" s="0" t="s">
        <v>42</v>
      </c>
      <c r="B6" s="6" t="n">
        <v>63831</v>
      </c>
      <c r="C6" s="6" t="n">
        <v>689464</v>
      </c>
      <c r="D6" s="7" t="n">
        <f aca="false">B6-$B$23</f>
        <v>-390</v>
      </c>
      <c r="E6" s="8" t="n">
        <f aca="false">B6/$B$23-1</f>
        <v>-0.006072779931798</v>
      </c>
    </row>
    <row r="7" customFormat="false" ht="15" hidden="false" customHeight="false" outlineLevel="0" collapsed="false">
      <c r="A7" s="0" t="s">
        <v>43</v>
      </c>
      <c r="B7" s="6" t="n">
        <v>64192</v>
      </c>
      <c r="C7" s="6" t="n">
        <v>677180</v>
      </c>
      <c r="D7" s="7" t="n">
        <f aca="false">B7-$B$23</f>
        <v>-29</v>
      </c>
      <c r="E7" s="8" t="n">
        <f aca="false">B7/$B$23-1</f>
        <v>-0.000451565687236255</v>
      </c>
    </row>
    <row r="8" customFormat="false" ht="15" hidden="false" customHeight="false" outlineLevel="0" collapsed="false">
      <c r="A8" s="0" t="s">
        <v>44</v>
      </c>
      <c r="B8" s="6" t="n">
        <v>64194</v>
      </c>
      <c r="C8" s="6" t="n">
        <v>680582</v>
      </c>
      <c r="D8" s="7" t="n">
        <f aca="false">B8-$B$23</f>
        <v>-27</v>
      </c>
      <c r="E8" s="8" t="n">
        <f aca="false">B8/$B$23-1</f>
        <v>-0.000420423226047517</v>
      </c>
    </row>
    <row r="9" customFormat="false" ht="15" hidden="false" customHeight="false" outlineLevel="0" collapsed="false">
      <c r="A9" s="0" t="s">
        <v>45</v>
      </c>
      <c r="B9" s="6" t="n">
        <v>64293</v>
      </c>
      <c r="C9" s="6" t="n">
        <v>676018</v>
      </c>
      <c r="D9" s="7" t="n">
        <f aca="false">B9-$B$23</f>
        <v>72</v>
      </c>
      <c r="E9" s="8" t="n">
        <f aca="false">B9/$B$23-1</f>
        <v>0.00112112860279345</v>
      </c>
    </row>
    <row r="10" customFormat="false" ht="15" hidden="false" customHeight="false" outlineLevel="0" collapsed="false">
      <c r="A10" s="0" t="s">
        <v>46</v>
      </c>
      <c r="B10" s="6" t="n">
        <v>63998</v>
      </c>
      <c r="C10" s="6" t="n">
        <v>670576</v>
      </c>
      <c r="D10" s="7" t="n">
        <f aca="false">B10-$B$23</f>
        <v>-223</v>
      </c>
      <c r="E10" s="8" t="n">
        <f aca="false">B10/$B$23-1</f>
        <v>-0.00347238442254094</v>
      </c>
    </row>
    <row r="11" customFormat="false" ht="15" hidden="false" customHeight="false" outlineLevel="0" collapsed="false">
      <c r="A11" s="0" t="s">
        <v>47</v>
      </c>
      <c r="B11" s="6" t="n">
        <v>64104</v>
      </c>
      <c r="C11" s="6" t="n">
        <v>659923</v>
      </c>
      <c r="D11" s="7" t="n">
        <f aca="false">B11-$B$23</f>
        <v>-117</v>
      </c>
      <c r="E11" s="8" t="n">
        <f aca="false">B11/$B$23-1</f>
        <v>-0.00182183397953939</v>
      </c>
    </row>
    <row r="12" customFormat="false" ht="15" hidden="false" customHeight="false" outlineLevel="0" collapsed="false">
      <c r="A12" s="0" t="s">
        <v>48</v>
      </c>
      <c r="B12" s="6" t="n">
        <v>64035</v>
      </c>
      <c r="C12" s="6" t="n">
        <v>679614</v>
      </c>
      <c r="D12" s="7" t="n">
        <f aca="false">B12-$B$23</f>
        <v>-186</v>
      </c>
      <c r="E12" s="8" t="n">
        <f aca="false">B12/$B$23-1</f>
        <v>-0.00289624889054985</v>
      </c>
    </row>
    <row r="13" customFormat="false" ht="15" hidden="false" customHeight="false" outlineLevel="0" collapsed="false">
      <c r="A13" s="0" t="s">
        <v>49</v>
      </c>
      <c r="B13" s="6" t="n">
        <v>64303</v>
      </c>
      <c r="C13" s="6" t="n">
        <v>692940</v>
      </c>
      <c r="D13" s="7" t="n">
        <f aca="false">B13-$B$23</f>
        <v>82</v>
      </c>
      <c r="E13" s="8" t="n">
        <f aca="false">B13/$B$23-1</f>
        <v>0.00127684090873692</v>
      </c>
    </row>
    <row r="14" customFormat="false" ht="15" hidden="false" customHeight="false" outlineLevel="0" collapsed="false">
      <c r="A14" s="0" t="s">
        <v>50</v>
      </c>
      <c r="B14" s="6" t="n">
        <v>64509</v>
      </c>
      <c r="C14" s="6" t="n">
        <v>694961</v>
      </c>
      <c r="D14" s="7" t="n">
        <f aca="false">B14-$B$23</f>
        <v>288</v>
      </c>
      <c r="E14" s="8" t="n">
        <f aca="false">B14/$B$23-1</f>
        <v>0.00448451441117381</v>
      </c>
    </row>
    <row r="15" customFormat="false" ht="15" hidden="false" customHeight="false" outlineLevel="0" collapsed="false">
      <c r="A15" s="0" t="s">
        <v>51</v>
      </c>
      <c r="B15" s="6" t="n">
        <v>64736</v>
      </c>
      <c r="C15" s="6" t="n">
        <v>681790</v>
      </c>
      <c r="D15" s="7" t="n">
        <f aca="false">B15-$B$23</f>
        <v>515</v>
      </c>
      <c r="E15" s="8" t="n">
        <f aca="false">B15/$B$23-1</f>
        <v>0.00801918375609234</v>
      </c>
    </row>
    <row r="16" customFormat="false" ht="15" hidden="false" customHeight="false" outlineLevel="0" collapsed="false">
      <c r="A16" s="0" t="s">
        <v>52</v>
      </c>
      <c r="B16" s="6" t="n">
        <v>64757</v>
      </c>
      <c r="C16" s="6" t="n">
        <v>724432</v>
      </c>
      <c r="D16" s="7" t="n">
        <f aca="false">B16-$B$23</f>
        <v>536</v>
      </c>
      <c r="E16" s="8" t="n">
        <f aca="false">B16/$B$23-1</f>
        <v>0.00834617959857376</v>
      </c>
    </row>
    <row r="17" customFormat="false" ht="15" hidden="false" customHeight="false" outlineLevel="0" collapsed="false">
      <c r="A17" s="0" t="s">
        <v>53</v>
      </c>
      <c r="B17" s="6" t="n">
        <v>65520</v>
      </c>
      <c r="C17" s="6" t="n">
        <v>747367</v>
      </c>
      <c r="D17" s="7" t="n">
        <f aca="false">B17-$B$23</f>
        <v>1299</v>
      </c>
      <c r="E17" s="8" t="n">
        <f aca="false">B17/$B$23-1</f>
        <v>0.0202270285420656</v>
      </c>
    </row>
    <row r="18" customFormat="false" ht="15" hidden="false" customHeight="false" outlineLevel="0" collapsed="false">
      <c r="A18" s="0" t="s">
        <v>54</v>
      </c>
      <c r="B18" s="6" t="n">
        <v>65516</v>
      </c>
      <c r="C18" s="6" t="n">
        <v>720242</v>
      </c>
      <c r="D18" s="7" t="n">
        <f aca="false">B18-$B$23</f>
        <v>1295</v>
      </c>
      <c r="E18" s="8" t="n">
        <f aca="false">B18/$B$23-1</f>
        <v>0.0201647436196883</v>
      </c>
    </row>
    <row r="19" customFormat="false" ht="15" hidden="false" customHeight="false" outlineLevel="0" collapsed="false">
      <c r="A19" s="0" t="s">
        <v>55</v>
      </c>
      <c r="B19" s="6" t="n">
        <v>65318</v>
      </c>
      <c r="C19" s="6" t="n">
        <v>723818</v>
      </c>
      <c r="D19" s="7" t="n">
        <f aca="false">B19-$B$23</f>
        <v>1097</v>
      </c>
      <c r="E19" s="8" t="n">
        <f aca="false">B19/$B$23-1</f>
        <v>0.0170816399620062</v>
      </c>
    </row>
    <row r="20" customFormat="false" ht="15" hidden="false" customHeight="false" outlineLevel="0" collapsed="false">
      <c r="A20" s="0" t="s">
        <v>56</v>
      </c>
      <c r="B20" s="6" t="n">
        <v>65036</v>
      </c>
      <c r="C20" s="6" t="n">
        <v>739944</v>
      </c>
      <c r="D20" s="7" t="n">
        <f aca="false">B20-$B$23</f>
        <v>815</v>
      </c>
      <c r="E20" s="8" t="n">
        <f aca="false">B20/$B$23-1</f>
        <v>0.0126905529343984</v>
      </c>
    </row>
    <row r="21" customFormat="false" ht="15" hidden="false" customHeight="false" outlineLevel="0" collapsed="false">
      <c r="A21" s="0" t="s">
        <v>57</v>
      </c>
      <c r="B21" s="6" t="n">
        <v>64967</v>
      </c>
      <c r="C21" s="6" t="n">
        <v>723970</v>
      </c>
      <c r="D21" s="7" t="n">
        <f aca="false">B21-$B$23</f>
        <v>746</v>
      </c>
      <c r="E21" s="8" t="n">
        <f aca="false">B21/$B$23-1</f>
        <v>0.0116161380233879</v>
      </c>
    </row>
    <row r="22" customFormat="false" ht="15" hidden="false" customHeight="false" outlineLevel="0" collapsed="false">
      <c r="A22" s="0" t="s">
        <v>58</v>
      </c>
      <c r="B22" s="6" t="n">
        <v>64228</v>
      </c>
      <c r="C22" s="6" t="n">
        <v>721992</v>
      </c>
      <c r="D22" s="7" t="n">
        <f aca="false">B22-$B$23</f>
        <v>7</v>
      </c>
      <c r="E22" s="8" t="n">
        <f aca="false">B22/$B$23-1</f>
        <v>0.000108998614160472</v>
      </c>
    </row>
    <row r="23" customFormat="false" ht="15" hidden="false" customHeight="false" outlineLevel="0" collapsed="false">
      <c r="A23" s="9" t="s">
        <v>59</v>
      </c>
      <c r="B23" s="6" t="n">
        <v>64221</v>
      </c>
      <c r="C23" s="6" t="n">
        <v>708049</v>
      </c>
      <c r="D23" s="7" t="n">
        <f aca="false">B23-$B$23</f>
        <v>0</v>
      </c>
      <c r="E23" s="8" t="n">
        <f aca="false">B23/$B$23-1</f>
        <v>0</v>
      </c>
    </row>
    <row r="24" customFormat="false" ht="15" hidden="false" customHeight="false" outlineLevel="0" collapsed="false">
      <c r="A24" s="0" t="s">
        <v>60</v>
      </c>
      <c r="B24" s="6" t="n">
        <v>64061</v>
      </c>
      <c r="C24" s="6" t="n">
        <v>727964</v>
      </c>
      <c r="D24" s="7" t="n">
        <f aca="false">B24-$B$23</f>
        <v>-160</v>
      </c>
      <c r="E24" s="8" t="n">
        <f aca="false">B24/$B$23-1</f>
        <v>-0.00249139689509659</v>
      </c>
    </row>
    <row r="25" customFormat="false" ht="15" hidden="false" customHeight="false" outlineLevel="0" collapsed="false">
      <c r="A25" s="0" t="s">
        <v>61</v>
      </c>
      <c r="B25" s="6" t="n">
        <v>63252</v>
      </c>
      <c r="C25" s="6" t="n">
        <v>715413</v>
      </c>
      <c r="D25" s="7" t="n">
        <f aca="false">B25-$B$23</f>
        <v>-969</v>
      </c>
      <c r="E25" s="8" t="n">
        <f aca="false">B25/$B$23-1</f>
        <v>-0.015088522445929</v>
      </c>
    </row>
    <row r="26" customFormat="false" ht="15" hidden="false" customHeight="false" outlineLevel="0" collapsed="false">
      <c r="A26" s="0" t="s">
        <v>62</v>
      </c>
      <c r="B26" s="6" t="n">
        <v>62723</v>
      </c>
      <c r="C26" s="6" t="n">
        <v>697150</v>
      </c>
      <c r="D26" s="7" t="n">
        <f aca="false">B26-$B$23</f>
        <v>-1498</v>
      </c>
      <c r="E26" s="8" t="n">
        <f aca="false">B26/$B$23-1</f>
        <v>-0.0233257034303421</v>
      </c>
    </row>
    <row r="27" customFormat="false" ht="15" hidden="false" customHeight="false" outlineLevel="0" collapsed="false">
      <c r="A27" s="0" t="s">
        <v>63</v>
      </c>
      <c r="B27" s="6" t="n">
        <v>62343</v>
      </c>
      <c r="C27" s="6" t="n">
        <v>685380</v>
      </c>
      <c r="D27" s="7" t="n">
        <f aca="false">B27-$B$23</f>
        <v>-1878</v>
      </c>
      <c r="E27" s="8" t="n">
        <f aca="false">B27/$B$23-1</f>
        <v>-0.0292427710561965</v>
      </c>
    </row>
    <row r="28" customFormat="false" ht="15" hidden="false" customHeight="false" outlineLevel="0" collapsed="false">
      <c r="A28" s="0" t="s">
        <v>64</v>
      </c>
      <c r="B28" s="6" t="n">
        <v>61711</v>
      </c>
      <c r="C28" s="6" t="n">
        <v>698723</v>
      </c>
      <c r="D28" s="7" t="n">
        <f aca="false">B28-$B$23</f>
        <v>-2510</v>
      </c>
      <c r="E28" s="8" t="n">
        <f aca="false">B28/$B$23-1</f>
        <v>-0.0390837887918282</v>
      </c>
    </row>
    <row r="29" customFormat="false" ht="15" hidden="false" customHeight="false" outlineLevel="0" collapsed="false">
      <c r="A29" s="0" t="s">
        <v>65</v>
      </c>
      <c r="B29" s="6" t="n">
        <v>61293</v>
      </c>
      <c r="C29" s="6" t="n">
        <v>679156</v>
      </c>
      <c r="D29" s="7" t="n">
        <f aca="false">B29-$B$23</f>
        <v>-2928</v>
      </c>
      <c r="E29" s="8" t="n">
        <f aca="false">B29/$B$23-1</f>
        <v>-0.0455925631802682</v>
      </c>
    </row>
    <row r="30" customFormat="false" ht="15" hidden="false" customHeight="false" outlineLevel="0" collapsed="false">
      <c r="A30" s="0" t="s">
        <v>66</v>
      </c>
      <c r="B30" s="6" t="n">
        <v>60928</v>
      </c>
      <c r="C30" s="6" t="n">
        <v>669816</v>
      </c>
      <c r="D30" s="7" t="n">
        <f aca="false">B30-$B$23</f>
        <v>-3293</v>
      </c>
      <c r="E30" s="8" t="n">
        <f aca="false">B30/$B$23-1</f>
        <v>-0.0512760623472073</v>
      </c>
    </row>
    <row r="31" customFormat="false" ht="15" hidden="false" customHeight="false" outlineLevel="0" collapsed="false">
      <c r="A31" s="0" t="s">
        <v>67</v>
      </c>
      <c r="B31" s="6" t="n">
        <v>60710</v>
      </c>
      <c r="C31" s="6" t="n">
        <v>657745</v>
      </c>
      <c r="D31" s="7" t="n">
        <f aca="false">B31-$B$23</f>
        <v>-3511</v>
      </c>
      <c r="E31" s="8" t="n">
        <f aca="false">B31/$B$23-1</f>
        <v>-0.0546705906167765</v>
      </c>
    </row>
    <row r="32" customFormat="false" ht="15" hidden="false" customHeight="false" outlineLevel="0" collapsed="false">
      <c r="A32" s="0" t="s">
        <v>68</v>
      </c>
      <c r="B32" s="6" t="n">
        <v>59585</v>
      </c>
      <c r="C32" s="6" t="n">
        <v>662670</v>
      </c>
      <c r="D32" s="7" t="n">
        <f aca="false">B32-$B$23</f>
        <v>-4636</v>
      </c>
      <c r="E32" s="8" t="n">
        <f aca="false">B32/$B$23-1</f>
        <v>-0.0721882250354246</v>
      </c>
    </row>
    <row r="33" customFormat="false" ht="15" hidden="false" customHeight="false" outlineLevel="0" collapsed="false">
      <c r="A33" s="0" t="s">
        <v>69</v>
      </c>
      <c r="B33" s="6" t="n">
        <v>58594</v>
      </c>
      <c r="C33" s="6" t="n">
        <v>649895</v>
      </c>
      <c r="D33" s="7" t="n">
        <f aca="false">B33-$B$23</f>
        <v>-5627</v>
      </c>
      <c r="E33" s="8" t="n">
        <f aca="false">B33/$B$23-1</f>
        <v>-0.0876193145544293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36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</row>
    <row r="5" customFormat="false" ht="15" hidden="false" customHeight="false" outlineLevel="0" collapsed="false">
      <c r="A5" s="0" t="s">
        <v>41</v>
      </c>
      <c r="B5" s="6" t="n">
        <v>258</v>
      </c>
      <c r="C5" s="6" t="n">
        <v>1258</v>
      </c>
      <c r="D5" s="6" t="n">
        <v>2321</v>
      </c>
      <c r="E5" s="6" t="n">
        <v>5278</v>
      </c>
      <c r="F5" s="6" t="n">
        <v>2884</v>
      </c>
      <c r="G5" s="6" t="n">
        <v>1587</v>
      </c>
      <c r="H5" s="6" t="n">
        <v>493</v>
      </c>
      <c r="I5" s="7" t="n">
        <f aca="false">SUM(B5:H5)</f>
        <v>14079</v>
      </c>
    </row>
    <row r="6" customFormat="false" ht="15" hidden="false" customHeight="false" outlineLevel="0" collapsed="false">
      <c r="A6" s="0" t="s">
        <v>42</v>
      </c>
      <c r="B6" s="6" t="n">
        <v>260</v>
      </c>
      <c r="C6" s="6" t="n">
        <v>1246</v>
      </c>
      <c r="D6" s="6" t="n">
        <v>2329</v>
      </c>
      <c r="E6" s="6" t="n">
        <v>5359</v>
      </c>
      <c r="F6" s="6" t="n">
        <v>2874</v>
      </c>
      <c r="G6" s="6" t="n">
        <v>1586</v>
      </c>
      <c r="H6" s="6" t="n">
        <v>486</v>
      </c>
      <c r="I6" s="7" t="n">
        <f aca="false">SUM(B6:H6)</f>
        <v>14140</v>
      </c>
    </row>
    <row r="7" customFormat="false" ht="15" hidden="false" customHeight="false" outlineLevel="0" collapsed="false">
      <c r="A7" s="0" t="s">
        <v>43</v>
      </c>
      <c r="B7" s="6" t="n">
        <v>257</v>
      </c>
      <c r="C7" s="6" t="n">
        <v>1268</v>
      </c>
      <c r="D7" s="6" t="n">
        <v>2382</v>
      </c>
      <c r="E7" s="6" t="n">
        <v>5418</v>
      </c>
      <c r="F7" s="6" t="n">
        <v>2866</v>
      </c>
      <c r="G7" s="6" t="n">
        <v>1564</v>
      </c>
      <c r="H7" s="6" t="n">
        <v>502</v>
      </c>
      <c r="I7" s="7" t="n">
        <f aca="false">SUM(B7:H7)</f>
        <v>14257</v>
      </c>
    </row>
    <row r="8" customFormat="false" ht="15" hidden="false" customHeight="false" outlineLevel="0" collapsed="false">
      <c r="A8" s="0" t="s">
        <v>44</v>
      </c>
      <c r="B8" s="6" t="n">
        <v>261</v>
      </c>
      <c r="C8" s="6" t="n">
        <v>1276</v>
      </c>
      <c r="D8" s="6" t="n">
        <v>2458</v>
      </c>
      <c r="E8" s="6" t="n">
        <v>5432</v>
      </c>
      <c r="F8" s="6" t="n">
        <v>2872</v>
      </c>
      <c r="G8" s="6" t="n">
        <v>1587</v>
      </c>
      <c r="H8" s="6" t="n">
        <v>515</v>
      </c>
      <c r="I8" s="7" t="n">
        <f aca="false">SUM(B8:H8)</f>
        <v>14401</v>
      </c>
    </row>
    <row r="9" customFormat="false" ht="15" hidden="false" customHeight="false" outlineLevel="0" collapsed="false">
      <c r="A9" s="0" t="s">
        <v>45</v>
      </c>
      <c r="B9" s="6" t="n">
        <v>263</v>
      </c>
      <c r="C9" s="6" t="n">
        <v>1322</v>
      </c>
      <c r="D9" s="6" t="n">
        <v>2402</v>
      </c>
      <c r="E9" s="6" t="n">
        <v>5448</v>
      </c>
      <c r="F9" s="6" t="n">
        <v>2842</v>
      </c>
      <c r="G9" s="6" t="n">
        <v>1610</v>
      </c>
      <c r="H9" s="6" t="n">
        <v>574</v>
      </c>
      <c r="I9" s="7" t="n">
        <f aca="false">SUM(B9:H9)</f>
        <v>14461</v>
      </c>
    </row>
    <row r="10" customFormat="false" ht="15" hidden="false" customHeight="false" outlineLevel="0" collapsed="false">
      <c r="A10" s="0" t="s">
        <v>46</v>
      </c>
      <c r="B10" s="6" t="n">
        <v>263</v>
      </c>
      <c r="C10" s="6" t="n">
        <v>1293</v>
      </c>
      <c r="D10" s="6" t="n">
        <v>2395</v>
      </c>
      <c r="E10" s="6" t="n">
        <v>5407</v>
      </c>
      <c r="F10" s="6" t="n">
        <v>2812</v>
      </c>
      <c r="G10" s="6" t="n">
        <v>1608</v>
      </c>
      <c r="H10" s="6" t="n">
        <v>543</v>
      </c>
      <c r="I10" s="7" t="n">
        <f aca="false">SUM(B10:H10)</f>
        <v>14321</v>
      </c>
    </row>
    <row r="11" customFormat="false" ht="15" hidden="false" customHeight="false" outlineLevel="0" collapsed="false">
      <c r="A11" s="0" t="s">
        <v>47</v>
      </c>
      <c r="B11" s="6" t="n">
        <v>265</v>
      </c>
      <c r="C11" s="6" t="n">
        <v>1279</v>
      </c>
      <c r="D11" s="6" t="n">
        <v>2392</v>
      </c>
      <c r="E11" s="6" t="n">
        <v>5367</v>
      </c>
      <c r="F11" s="6" t="n">
        <v>2797</v>
      </c>
      <c r="G11" s="6" t="n">
        <v>1594</v>
      </c>
      <c r="H11" s="6" t="n">
        <v>539</v>
      </c>
      <c r="I11" s="7" t="n">
        <f aca="false">SUM(B11:H11)</f>
        <v>14233</v>
      </c>
    </row>
    <row r="12" customFormat="false" ht="15" hidden="false" customHeight="false" outlineLevel="0" collapsed="false">
      <c r="A12" s="0" t="s">
        <v>48</v>
      </c>
      <c r="B12" s="6" t="n">
        <v>265</v>
      </c>
      <c r="C12" s="6" t="n">
        <v>1269</v>
      </c>
      <c r="D12" s="6" t="n">
        <v>2403</v>
      </c>
      <c r="E12" s="6" t="n">
        <v>5314</v>
      </c>
      <c r="F12" s="6" t="n">
        <v>2790</v>
      </c>
      <c r="G12" s="6" t="n">
        <v>1594</v>
      </c>
      <c r="H12" s="6" t="n">
        <v>532</v>
      </c>
      <c r="I12" s="7" t="n">
        <f aca="false">SUM(B12:H12)</f>
        <v>14167</v>
      </c>
    </row>
    <row r="13" customFormat="false" ht="15" hidden="false" customHeight="false" outlineLevel="0" collapsed="false">
      <c r="A13" s="0" t="s">
        <v>49</v>
      </c>
      <c r="B13" s="6" t="n">
        <v>265</v>
      </c>
      <c r="C13" s="6" t="n">
        <v>1266</v>
      </c>
      <c r="D13" s="6" t="n">
        <v>2421</v>
      </c>
      <c r="E13" s="6" t="n">
        <v>5307</v>
      </c>
      <c r="F13" s="6" t="n">
        <v>2792</v>
      </c>
      <c r="G13" s="6" t="n">
        <v>1631</v>
      </c>
      <c r="H13" s="6" t="n">
        <v>539</v>
      </c>
      <c r="I13" s="7" t="n">
        <f aca="false">SUM(B13:H13)</f>
        <v>14221</v>
      </c>
    </row>
    <row r="14" customFormat="false" ht="15" hidden="false" customHeight="false" outlineLevel="0" collapsed="false">
      <c r="A14" s="0" t="s">
        <v>50</v>
      </c>
      <c r="B14" s="6" t="n">
        <v>266</v>
      </c>
      <c r="C14" s="6" t="n">
        <v>1270</v>
      </c>
      <c r="D14" s="6" t="n">
        <v>2433</v>
      </c>
      <c r="E14" s="6" t="n">
        <v>5297</v>
      </c>
      <c r="F14" s="6" t="n">
        <v>2802</v>
      </c>
      <c r="G14" s="6" t="n">
        <v>1645</v>
      </c>
      <c r="H14" s="6" t="n">
        <v>551</v>
      </c>
      <c r="I14" s="7" t="n">
        <f aca="false">SUM(B14:H14)</f>
        <v>14264</v>
      </c>
    </row>
    <row r="15" customFormat="false" ht="15" hidden="false" customHeight="false" outlineLevel="0" collapsed="false">
      <c r="A15" s="0" t="s">
        <v>51</v>
      </c>
      <c r="B15" s="6" t="n">
        <v>268</v>
      </c>
      <c r="C15" s="6" t="n">
        <v>1265</v>
      </c>
      <c r="D15" s="6" t="n">
        <v>2450</v>
      </c>
      <c r="E15" s="6" t="n">
        <v>5390</v>
      </c>
      <c r="F15" s="6" t="n">
        <v>2793</v>
      </c>
      <c r="G15" s="6" t="n">
        <v>1666</v>
      </c>
      <c r="H15" s="6" t="n">
        <v>552</v>
      </c>
      <c r="I15" s="7" t="n">
        <f aca="false">SUM(B15:H15)</f>
        <v>14384</v>
      </c>
    </row>
    <row r="16" customFormat="false" ht="15" hidden="false" customHeight="false" outlineLevel="0" collapsed="false">
      <c r="A16" s="0" t="s">
        <v>52</v>
      </c>
      <c r="B16" s="6" t="n">
        <v>271</v>
      </c>
      <c r="C16" s="6" t="n">
        <v>1263</v>
      </c>
      <c r="D16" s="6" t="n">
        <v>2478</v>
      </c>
      <c r="E16" s="6" t="n">
        <v>5378</v>
      </c>
      <c r="F16" s="6" t="n">
        <v>2788</v>
      </c>
      <c r="G16" s="6" t="n">
        <v>1664</v>
      </c>
      <c r="H16" s="6" t="n">
        <v>552</v>
      </c>
      <c r="I16" s="7" t="n">
        <f aca="false">SUM(B16:H16)</f>
        <v>14394</v>
      </c>
    </row>
    <row r="17" customFormat="false" ht="15" hidden="false" customHeight="false" outlineLevel="0" collapsed="false">
      <c r="A17" s="0" t="s">
        <v>53</v>
      </c>
      <c r="B17" s="6" t="n">
        <v>277</v>
      </c>
      <c r="C17" s="6" t="n">
        <v>1262</v>
      </c>
      <c r="D17" s="6" t="n">
        <v>2444</v>
      </c>
      <c r="E17" s="6" t="n">
        <v>5387</v>
      </c>
      <c r="F17" s="6" t="n">
        <v>2848</v>
      </c>
      <c r="G17" s="6" t="n">
        <v>1661</v>
      </c>
      <c r="H17" s="6" t="n">
        <v>547</v>
      </c>
      <c r="I17" s="7" t="n">
        <f aca="false">SUM(B17:H17)</f>
        <v>14426</v>
      </c>
    </row>
    <row r="18" customFormat="false" ht="15" hidden="false" customHeight="false" outlineLevel="0" collapsed="false">
      <c r="A18" s="0" t="s">
        <v>54</v>
      </c>
      <c r="B18" s="6" t="n">
        <v>277</v>
      </c>
      <c r="C18" s="6" t="n">
        <v>1248</v>
      </c>
      <c r="D18" s="6" t="n">
        <v>2443</v>
      </c>
      <c r="E18" s="6" t="n">
        <v>5421</v>
      </c>
      <c r="F18" s="6" t="n">
        <v>2838</v>
      </c>
      <c r="G18" s="6" t="n">
        <v>1662</v>
      </c>
      <c r="H18" s="6" t="n">
        <v>547</v>
      </c>
      <c r="I18" s="7" t="n">
        <f aca="false">SUM(B18:H18)</f>
        <v>14436</v>
      </c>
    </row>
    <row r="19" customFormat="false" ht="15" hidden="false" customHeight="false" outlineLevel="0" collapsed="false">
      <c r="A19" s="0" t="s">
        <v>55</v>
      </c>
      <c r="B19" s="6" t="n">
        <v>279</v>
      </c>
      <c r="C19" s="6" t="n">
        <v>1252</v>
      </c>
      <c r="D19" s="6" t="n">
        <v>2433</v>
      </c>
      <c r="E19" s="6" t="n">
        <v>5474</v>
      </c>
      <c r="F19" s="6" t="n">
        <v>2835</v>
      </c>
      <c r="G19" s="6" t="n">
        <v>1644</v>
      </c>
      <c r="H19" s="6" t="n">
        <v>546</v>
      </c>
      <c r="I19" s="7" t="n">
        <f aca="false">SUM(B19:H19)</f>
        <v>14463</v>
      </c>
    </row>
    <row r="20" customFormat="false" ht="15" hidden="false" customHeight="false" outlineLevel="0" collapsed="false">
      <c r="A20" s="0" t="s">
        <v>56</v>
      </c>
      <c r="B20" s="6" t="n">
        <v>276</v>
      </c>
      <c r="C20" s="6" t="n">
        <v>1234</v>
      </c>
      <c r="D20" s="6" t="n">
        <v>2439</v>
      </c>
      <c r="E20" s="6" t="n">
        <v>5409</v>
      </c>
      <c r="F20" s="6" t="n">
        <v>2812</v>
      </c>
      <c r="G20" s="6" t="n">
        <v>1658</v>
      </c>
      <c r="H20" s="6" t="n">
        <v>536</v>
      </c>
      <c r="I20" s="7" t="n">
        <f aca="false">SUM(B20:H20)</f>
        <v>14364</v>
      </c>
    </row>
    <row r="21" customFormat="false" ht="15" hidden="false" customHeight="false" outlineLevel="0" collapsed="false">
      <c r="A21" s="0" t="s">
        <v>57</v>
      </c>
      <c r="B21" s="6" t="n">
        <v>280</v>
      </c>
      <c r="C21" s="6" t="n">
        <v>1179</v>
      </c>
      <c r="D21" s="6" t="n">
        <v>2433</v>
      </c>
      <c r="E21" s="6" t="n">
        <v>5469</v>
      </c>
      <c r="F21" s="6" t="n">
        <v>2798</v>
      </c>
      <c r="G21" s="6" t="n">
        <v>1674</v>
      </c>
      <c r="H21" s="6" t="n">
        <v>541</v>
      </c>
      <c r="I21" s="7" t="n">
        <f aca="false">SUM(B21:H21)</f>
        <v>14374</v>
      </c>
    </row>
    <row r="22" customFormat="false" ht="15" hidden="false" customHeight="false" outlineLevel="0" collapsed="false">
      <c r="A22" s="0" t="s">
        <v>58</v>
      </c>
      <c r="B22" s="6" t="n">
        <v>282</v>
      </c>
      <c r="C22" s="6" t="n">
        <v>1168</v>
      </c>
      <c r="D22" s="6" t="n">
        <v>2397</v>
      </c>
      <c r="E22" s="6" t="n">
        <v>5397</v>
      </c>
      <c r="F22" s="6" t="n">
        <v>2770</v>
      </c>
      <c r="G22" s="6" t="n">
        <v>1590</v>
      </c>
      <c r="H22" s="6" t="n">
        <v>534</v>
      </c>
      <c r="I22" s="7" t="n">
        <f aca="false">SUM(B22:H22)</f>
        <v>14138</v>
      </c>
    </row>
    <row r="23" customFormat="false" ht="15" hidden="false" customHeight="false" outlineLevel="0" collapsed="false">
      <c r="A23" s="0" t="s">
        <v>59</v>
      </c>
      <c r="B23" s="6" t="n">
        <v>284</v>
      </c>
      <c r="C23" s="6" t="n">
        <v>1168</v>
      </c>
      <c r="D23" s="6" t="n">
        <v>2396</v>
      </c>
      <c r="E23" s="6" t="n">
        <v>5335</v>
      </c>
      <c r="F23" s="6" t="n">
        <v>2751</v>
      </c>
      <c r="G23" s="6" t="n">
        <v>1569</v>
      </c>
      <c r="H23" s="6" t="n">
        <v>530</v>
      </c>
      <c r="I23" s="7" t="n">
        <f aca="false">SUM(B23:H23)</f>
        <v>14033</v>
      </c>
    </row>
    <row r="24" customFormat="false" ht="15" hidden="false" customHeight="false" outlineLevel="0" collapsed="false">
      <c r="A24" s="0" t="s">
        <v>60</v>
      </c>
      <c r="B24" s="6" t="n">
        <v>281</v>
      </c>
      <c r="C24" s="6" t="n">
        <v>1160</v>
      </c>
      <c r="D24" s="6" t="n">
        <v>2401</v>
      </c>
      <c r="E24" s="6" t="n">
        <v>5275</v>
      </c>
      <c r="F24" s="6" t="n">
        <v>2746</v>
      </c>
      <c r="G24" s="6" t="n">
        <v>1591</v>
      </c>
      <c r="H24" s="6" t="n">
        <v>527</v>
      </c>
      <c r="I24" s="7" t="n">
        <f aca="false">SUM(B24:H24)</f>
        <v>13981</v>
      </c>
    </row>
    <row r="25" customFormat="false" ht="15" hidden="false" customHeight="false" outlineLevel="0" collapsed="false">
      <c r="A25" s="0" t="s">
        <v>61</v>
      </c>
      <c r="B25" s="6" t="n">
        <v>270</v>
      </c>
      <c r="C25" s="6" t="n">
        <v>1163</v>
      </c>
      <c r="D25" s="6" t="n">
        <v>2359</v>
      </c>
      <c r="E25" s="6" t="n">
        <v>5264</v>
      </c>
      <c r="F25" s="6" t="n">
        <v>2654</v>
      </c>
      <c r="G25" s="6" t="n">
        <v>1566</v>
      </c>
      <c r="H25" s="6" t="n">
        <v>513</v>
      </c>
      <c r="I25" s="7" t="n">
        <f aca="false">SUM(B25:H25)</f>
        <v>13789</v>
      </c>
    </row>
    <row r="26" customFormat="false" ht="15" hidden="false" customHeight="false" outlineLevel="0" collapsed="false">
      <c r="A26" s="0" t="s">
        <v>62</v>
      </c>
      <c r="B26" s="6" t="n">
        <v>264</v>
      </c>
      <c r="C26" s="6" t="n">
        <v>1136</v>
      </c>
      <c r="D26" s="6" t="n">
        <v>2337</v>
      </c>
      <c r="E26" s="6" t="n">
        <v>5184</v>
      </c>
      <c r="F26" s="6" t="n">
        <v>2599</v>
      </c>
      <c r="G26" s="6" t="n">
        <v>1554</v>
      </c>
      <c r="H26" s="6" t="n">
        <v>516</v>
      </c>
      <c r="I26" s="7" t="n">
        <f aca="false">SUM(B26:H26)</f>
        <v>13590</v>
      </c>
    </row>
    <row r="27" customFormat="false" ht="15" hidden="false" customHeight="false" outlineLevel="0" collapsed="false">
      <c r="A27" s="0" t="s">
        <v>63</v>
      </c>
      <c r="B27" s="6" t="n">
        <v>266</v>
      </c>
      <c r="C27" s="6" t="n">
        <v>1133</v>
      </c>
      <c r="D27" s="6" t="n">
        <v>2310</v>
      </c>
      <c r="E27" s="6" t="n">
        <v>5125</v>
      </c>
      <c r="F27" s="6" t="n">
        <v>2552</v>
      </c>
      <c r="G27" s="6" t="n">
        <v>1542</v>
      </c>
      <c r="H27" s="6" t="n">
        <v>513</v>
      </c>
      <c r="I27" s="7" t="n">
        <f aca="false">SUM(B27:H27)</f>
        <v>13441</v>
      </c>
    </row>
    <row r="28" customFormat="false" ht="15" hidden="false" customHeight="false" outlineLevel="0" collapsed="false">
      <c r="A28" s="0" t="s">
        <v>64</v>
      </c>
      <c r="B28" s="6" t="n">
        <v>266</v>
      </c>
      <c r="C28" s="6" t="n">
        <v>1113</v>
      </c>
      <c r="D28" s="6" t="n">
        <v>2291</v>
      </c>
      <c r="E28" s="6" t="n">
        <v>5061</v>
      </c>
      <c r="F28" s="6" t="n">
        <v>2513</v>
      </c>
      <c r="G28" s="6" t="n">
        <v>1522</v>
      </c>
      <c r="H28" s="6" t="n">
        <v>513</v>
      </c>
      <c r="I28" s="7" t="n">
        <f aca="false">SUM(B28:H28)</f>
        <v>13279</v>
      </c>
    </row>
    <row r="29" customFormat="false" ht="15" hidden="false" customHeight="false" outlineLevel="0" collapsed="false">
      <c r="A29" s="0" t="s">
        <v>65</v>
      </c>
      <c r="B29" s="6" t="n">
        <v>257</v>
      </c>
      <c r="C29" s="6" t="n">
        <v>1110</v>
      </c>
      <c r="D29" s="6" t="n">
        <v>2320</v>
      </c>
      <c r="E29" s="6" t="n">
        <v>5139</v>
      </c>
      <c r="F29" s="6" t="n">
        <v>2491</v>
      </c>
      <c r="G29" s="6" t="n">
        <v>1520</v>
      </c>
      <c r="H29" s="6" t="n">
        <v>506</v>
      </c>
      <c r="I29" s="7" t="n">
        <f aca="false">SUM(B29:H29)</f>
        <v>13343</v>
      </c>
    </row>
    <row r="30" customFormat="false" ht="15" hidden="false" customHeight="false" outlineLevel="0" collapsed="false">
      <c r="A30" s="0" t="s">
        <v>66</v>
      </c>
      <c r="B30" s="6" t="n">
        <v>254</v>
      </c>
      <c r="C30" s="6" t="n">
        <v>1104</v>
      </c>
      <c r="D30" s="6" t="n">
        <v>2333</v>
      </c>
      <c r="E30" s="6" t="n">
        <v>5114</v>
      </c>
      <c r="F30" s="6" t="n">
        <v>2474</v>
      </c>
      <c r="G30" s="6" t="n">
        <v>1505</v>
      </c>
      <c r="H30" s="6" t="n">
        <v>491</v>
      </c>
      <c r="I30" s="7" t="n">
        <f aca="false">SUM(B30:H30)</f>
        <v>13275</v>
      </c>
    </row>
    <row r="31" customFormat="false" ht="15" hidden="false" customHeight="false" outlineLevel="0" collapsed="false">
      <c r="A31" s="0" t="s">
        <v>67</v>
      </c>
      <c r="B31" s="6" t="n">
        <v>253</v>
      </c>
      <c r="C31" s="6" t="n">
        <v>1076</v>
      </c>
      <c r="D31" s="6" t="n">
        <v>2311</v>
      </c>
      <c r="E31" s="6" t="n">
        <v>5092</v>
      </c>
      <c r="F31" s="6" t="n">
        <v>2370</v>
      </c>
      <c r="G31" s="6" t="n">
        <v>1490</v>
      </c>
      <c r="H31" s="6" t="n">
        <v>487</v>
      </c>
      <c r="I31" s="7" t="n">
        <f aca="false">SUM(B31:H31)</f>
        <v>13079</v>
      </c>
    </row>
    <row r="32" customFormat="false" ht="15" hidden="false" customHeight="false" outlineLevel="0" collapsed="false">
      <c r="A32" s="0" t="s">
        <v>68</v>
      </c>
      <c r="B32" s="6" t="n">
        <v>250</v>
      </c>
      <c r="C32" s="6" t="n">
        <v>1027</v>
      </c>
      <c r="D32" s="6" t="n">
        <v>2258</v>
      </c>
      <c r="E32" s="6" t="n">
        <v>4899</v>
      </c>
      <c r="F32" s="6" t="n">
        <v>2376</v>
      </c>
      <c r="G32" s="6" t="n">
        <v>1480</v>
      </c>
      <c r="H32" s="6" t="n">
        <v>469</v>
      </c>
      <c r="I32" s="7" t="n">
        <f aca="false">SUM(B32:H32)</f>
        <v>12759</v>
      </c>
    </row>
    <row r="33" customFormat="false" ht="15" hidden="false" customHeight="false" outlineLevel="0" collapsed="false">
      <c r="A33" s="0" t="s">
        <v>69</v>
      </c>
      <c r="B33" s="6" t="n">
        <v>202</v>
      </c>
      <c r="C33" s="6" t="n">
        <v>1019</v>
      </c>
      <c r="D33" s="6" t="n">
        <v>2252</v>
      </c>
      <c r="E33" s="6" t="n">
        <v>4860</v>
      </c>
      <c r="F33" s="6" t="n">
        <v>2106</v>
      </c>
      <c r="G33" s="6" t="n">
        <v>1468</v>
      </c>
      <c r="H33" s="6" t="n">
        <v>465</v>
      </c>
      <c r="I33" s="7" t="n">
        <f aca="false">SUM(B33:H33)</f>
        <v>12372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23.8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</row>
    <row r="5" customFormat="false" ht="15" hidden="false" customHeight="false" outlineLevel="0" collapsed="false">
      <c r="A5" s="0" t="s">
        <v>91</v>
      </c>
      <c r="B5" s="6" t="n">
        <v>4</v>
      </c>
      <c r="C5" s="6" t="n">
        <v>284</v>
      </c>
      <c r="D5" s="6" t="n">
        <v>202</v>
      </c>
      <c r="E5" s="7" t="n">
        <f aca="false">D5-C5</f>
        <v>-82</v>
      </c>
      <c r="F5" s="8" t="n">
        <f aca="false">D5/C5-1</f>
        <v>-0.288732394366197</v>
      </c>
      <c r="G5" s="6" t="n">
        <v>2899</v>
      </c>
      <c r="H5" s="6" t="n">
        <v>2175</v>
      </c>
      <c r="I5" s="8" t="n">
        <f aca="false">H5/G5-1</f>
        <v>-0.249741290100035</v>
      </c>
    </row>
    <row r="6" customFormat="false" ht="15" hidden="false" customHeight="false" outlineLevel="0" collapsed="false">
      <c r="A6" s="0" t="s">
        <v>92</v>
      </c>
      <c r="B6" s="6" t="n">
        <v>120</v>
      </c>
      <c r="C6" s="6" t="n">
        <v>2751</v>
      </c>
      <c r="D6" s="6" t="n">
        <v>2106</v>
      </c>
      <c r="E6" s="7" t="n">
        <f aca="false">D6-C6</f>
        <v>-645</v>
      </c>
      <c r="F6" s="8" t="n">
        <f aca="false">D6/C6-1</f>
        <v>-0.234460196292257</v>
      </c>
      <c r="G6" s="6" t="n">
        <v>35040</v>
      </c>
      <c r="H6" s="6" t="n">
        <v>27018</v>
      </c>
      <c r="I6" s="8" t="n">
        <f aca="false">H6/G6-1</f>
        <v>-0.228938356164384</v>
      </c>
    </row>
    <row r="7" customFormat="false" ht="15" hidden="false" customHeight="false" outlineLevel="0" collapsed="false">
      <c r="A7" s="0" t="s">
        <v>93</v>
      </c>
      <c r="B7" s="6" t="n">
        <v>52</v>
      </c>
      <c r="C7" s="6" t="n">
        <v>1168</v>
      </c>
      <c r="D7" s="6" t="n">
        <v>1019</v>
      </c>
      <c r="E7" s="7" t="n">
        <f aca="false">D7-C7</f>
        <v>-149</v>
      </c>
      <c r="F7" s="8" t="n">
        <f aca="false">D7/C7-1</f>
        <v>-0.127568493150685</v>
      </c>
      <c r="G7" s="6" t="n">
        <v>11683</v>
      </c>
      <c r="H7" s="6" t="n">
        <v>10360</v>
      </c>
      <c r="I7" s="8" t="n">
        <f aca="false">H7/G7-1</f>
        <v>-0.113241461953265</v>
      </c>
    </row>
    <row r="8" customFormat="false" ht="15" hidden="false" customHeight="false" outlineLevel="0" collapsed="false">
      <c r="A8" s="0" t="s">
        <v>94</v>
      </c>
      <c r="B8" s="6" t="n">
        <v>3</v>
      </c>
      <c r="C8" s="6" t="n">
        <v>530</v>
      </c>
      <c r="D8" s="6" t="n">
        <v>465</v>
      </c>
      <c r="E8" s="7" t="n">
        <f aca="false">D8-C8</f>
        <v>-65</v>
      </c>
      <c r="F8" s="8" t="n">
        <f aca="false">D8/C8-1</f>
        <v>-0.122641509433962</v>
      </c>
      <c r="G8" s="6" t="n">
        <v>4530</v>
      </c>
      <c r="H8" s="6" t="n">
        <v>4015</v>
      </c>
      <c r="I8" s="8" t="n">
        <f aca="false">H8/G8-1</f>
        <v>-0.113686534216336</v>
      </c>
    </row>
    <row r="9" customFormat="false" ht="15" hidden="false" customHeight="false" outlineLevel="0" collapsed="false">
      <c r="A9" s="0" t="s">
        <v>95</v>
      </c>
      <c r="B9" s="6" t="n">
        <v>8</v>
      </c>
      <c r="C9" s="6" t="n">
        <v>5335</v>
      </c>
      <c r="D9" s="6" t="n">
        <v>4860</v>
      </c>
      <c r="E9" s="7" t="n">
        <f aca="false">D9-C9</f>
        <v>-475</v>
      </c>
      <c r="F9" s="8" t="n">
        <f aca="false">D9/C9-1</f>
        <v>-0.0890346766635426</v>
      </c>
      <c r="G9" s="6" t="n">
        <v>54985</v>
      </c>
      <c r="H9" s="6" t="n">
        <v>51013</v>
      </c>
      <c r="I9" s="8" t="n">
        <f aca="false">H9/G9-1</f>
        <v>-0.0722378830590161</v>
      </c>
    </row>
    <row r="10" customFormat="false" ht="15" hidden="false" customHeight="false" outlineLevel="0" collapsed="false">
      <c r="A10" s="0" t="s">
        <v>96</v>
      </c>
      <c r="B10" s="6" t="n">
        <v>9</v>
      </c>
      <c r="C10" s="6" t="n">
        <v>1569</v>
      </c>
      <c r="D10" s="6" t="n">
        <v>1468</v>
      </c>
      <c r="E10" s="7" t="n">
        <f aca="false">D10-C10</f>
        <v>-101</v>
      </c>
      <c r="F10" s="8" t="n">
        <f aca="false">D10/C10-1</f>
        <v>-0.064372211599745</v>
      </c>
      <c r="G10" s="6" t="n">
        <v>14987</v>
      </c>
      <c r="H10" s="6" t="n">
        <v>13597</v>
      </c>
      <c r="I10" s="8" t="n">
        <f aca="false">H10/G10-1</f>
        <v>-0.0927470474411156</v>
      </c>
    </row>
    <row r="11" customFormat="false" ht="15" hidden="false" customHeight="false" outlineLevel="0" collapsed="false">
      <c r="A11" s="0" t="s">
        <v>97</v>
      </c>
      <c r="B11" s="6" t="n">
        <v>6</v>
      </c>
      <c r="C11" s="6" t="n">
        <v>2396</v>
      </c>
      <c r="D11" s="6" t="n">
        <v>2252</v>
      </c>
      <c r="E11" s="7" t="n">
        <f aca="false">D11-C11</f>
        <v>-144</v>
      </c>
      <c r="F11" s="8" t="n">
        <f aca="false">D11/C11-1</f>
        <v>-0.0601001669449082</v>
      </c>
      <c r="G11" s="6" t="n">
        <v>27679</v>
      </c>
      <c r="H11" s="6" t="n">
        <v>25178</v>
      </c>
      <c r="I11" s="8" t="n">
        <f aca="false">H11/G11-1</f>
        <v>-0.0903573105964811</v>
      </c>
    </row>
    <row r="12" customFormat="false" ht="15" hidden="false" customHeight="false" outlineLevel="0" collapsed="false">
      <c r="A12" s="4" t="s">
        <v>79</v>
      </c>
      <c r="B12" s="7" t="n">
        <f aca="false">SUM(B5:B11)</f>
        <v>202</v>
      </c>
      <c r="C12" s="7" t="n">
        <f aca="false">SUM(C5:C11)</f>
        <v>14033</v>
      </c>
      <c r="D12" s="7" t="n">
        <f aca="false">SUM(D5:D11)</f>
        <v>12372</v>
      </c>
      <c r="E12" s="7" t="n">
        <f aca="false">D12-C12</f>
        <v>-1661</v>
      </c>
      <c r="F12" s="8" t="n">
        <f aca="false">D12/C12-1</f>
        <v>-0.118363856623673</v>
      </c>
      <c r="G12" s="7" t="n">
        <f aca="false">SUM(G5:G11)</f>
        <v>151803</v>
      </c>
      <c r="H12" s="7" t="n">
        <f aca="false">SUM(H5:H11)</f>
        <v>133356</v>
      </c>
      <c r="I12" s="8" t="n">
        <f aca="false">H12/G12-1</f>
        <v>-0.121519337562499</v>
      </c>
    </row>
    <row r="13" customFormat="false" ht="15" hidden="false" customHeight="false" outlineLevel="0" collapsed="false">
      <c r="A13" s="4" t="s">
        <v>98</v>
      </c>
      <c r="C13" s="6" t="n">
        <v>64221</v>
      </c>
      <c r="D13" s="6" t="n">
        <v>58594</v>
      </c>
      <c r="E13" s="7" t="n">
        <f aca="false">D13-C13</f>
        <v>-5627</v>
      </c>
      <c r="F13" s="8" t="n">
        <f aca="false">D13/C13-1</f>
        <v>-0.0876193145544293</v>
      </c>
      <c r="G13" s="6" t="n">
        <v>708049</v>
      </c>
      <c r="H13" s="6" t="n">
        <v>649895</v>
      </c>
      <c r="I13" s="8" t="n">
        <f aca="false">H13/G13-1</f>
        <v>-0.0821327337514777</v>
      </c>
    </row>
    <row r="15" customFormat="false" ht="15" hidden="false" customHeight="false" outlineLevel="0" collapsed="false">
      <c r="A15" s="0" t="s">
        <v>99</v>
      </c>
      <c r="D15" s="6" t="n">
        <v>2111</v>
      </c>
    </row>
    <row r="16" customFormat="false" ht="15" hidden="false" customHeight="false" outlineLevel="0" collapsed="false">
      <c r="A16" s="0" t="s">
        <v>100</v>
      </c>
      <c r="D16" s="10" t="n">
        <f aca="false">1-D15/-E13</f>
        <v>0.624844499733428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3.8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</row>
    <row r="5" customFormat="false" ht="15" hidden="false" customHeight="false" outlineLevel="0" collapsed="false">
      <c r="A5" s="11" t="n">
        <v>2014</v>
      </c>
      <c r="B5" s="6" t="n">
        <v>62300</v>
      </c>
      <c r="C5" s="6" t="n">
        <v>2021825678</v>
      </c>
      <c r="D5" s="6" t="n">
        <v>1415059797</v>
      </c>
      <c r="E5" s="12" t="n">
        <f aca="false">B5/$B$5*100</f>
        <v>100</v>
      </c>
      <c r="F5" s="12" t="n">
        <f aca="false">C5/$C$5*100</f>
        <v>100</v>
      </c>
      <c r="G5" s="7" t="n">
        <f aca="false">C5/B5</f>
        <v>32453.0606420546</v>
      </c>
    </row>
    <row r="6" customFormat="false" ht="15" hidden="false" customHeight="false" outlineLevel="0" collapsed="false">
      <c r="A6" s="11" t="n">
        <v>2015</v>
      </c>
      <c r="B6" s="6" t="n">
        <v>62916</v>
      </c>
      <c r="C6" s="6" t="n">
        <v>2116606771</v>
      </c>
      <c r="D6" s="6" t="n">
        <v>1448156479</v>
      </c>
      <c r="E6" s="12" t="n">
        <f aca="false">B6/$B$5*100</f>
        <v>100.988764044944</v>
      </c>
      <c r="F6" s="12" t="n">
        <f aca="false">C6/$C$5*100</f>
        <v>104.687896391432</v>
      </c>
      <c r="G6" s="7" t="n">
        <f aca="false">C6/B6</f>
        <v>33641.7885911374</v>
      </c>
    </row>
    <row r="7" customFormat="false" ht="15" hidden="false" customHeight="false" outlineLevel="0" collapsed="false">
      <c r="A7" s="11" t="n">
        <v>2016</v>
      </c>
      <c r="B7" s="6" t="n">
        <v>63697</v>
      </c>
      <c r="C7" s="6" t="n">
        <v>2226851870</v>
      </c>
      <c r="D7" s="6" t="n">
        <v>1482050210</v>
      </c>
      <c r="E7" s="12" t="n">
        <f aca="false">B7/$B$5*100</f>
        <v>102.242375601926</v>
      </c>
      <c r="F7" s="12" t="n">
        <f aca="false">C7/$C$5*100</f>
        <v>110.140646358929</v>
      </c>
      <c r="G7" s="7" t="n">
        <f aca="false">C7/B7</f>
        <v>34960.0745718009</v>
      </c>
    </row>
    <row r="8" customFormat="false" ht="15" hidden="false" customHeight="false" outlineLevel="0" collapsed="false">
      <c r="A8" s="11" t="n">
        <v>2017</v>
      </c>
      <c r="B8" s="6" t="n">
        <v>63441</v>
      </c>
      <c r="C8" s="6" t="n">
        <v>2324373957</v>
      </c>
      <c r="D8" s="6" t="n">
        <v>1495393915</v>
      </c>
      <c r="E8" s="12" t="n">
        <f aca="false">B8/$B$5*100</f>
        <v>101.831460674157</v>
      </c>
      <c r="F8" s="12" t="n">
        <f aca="false">C8/$C$5*100</f>
        <v>114.964112994117</v>
      </c>
      <c r="G8" s="7" t="n">
        <f aca="false">C8/B8</f>
        <v>36638.3562207405</v>
      </c>
    </row>
    <row r="9" customFormat="false" ht="15" hidden="false" customHeight="false" outlineLevel="0" collapsed="false">
      <c r="A9" s="11" t="n">
        <v>2018</v>
      </c>
      <c r="B9" s="6" t="n">
        <v>64193</v>
      </c>
      <c r="C9" s="6" t="n">
        <v>2429696956</v>
      </c>
      <c r="D9" s="6" t="n">
        <v>1500615588</v>
      </c>
      <c r="E9" s="12" t="n">
        <f aca="false">B9/$B$5*100</f>
        <v>103.038523274478</v>
      </c>
      <c r="F9" s="12" t="n">
        <f aca="false">C9/$C$5*100</f>
        <v>120.173414673587</v>
      </c>
      <c r="G9" s="7" t="n">
        <f aca="false">C9/B9</f>
        <v>37849.8739114857</v>
      </c>
    </row>
    <row r="10" customFormat="false" ht="15" hidden="false" customHeight="false" outlineLevel="0" collapsed="false">
      <c r="A10" s="11" t="n">
        <v>2019</v>
      </c>
      <c r="B10" s="6" t="n">
        <v>64065</v>
      </c>
      <c r="C10" s="6" t="n">
        <v>2534094060</v>
      </c>
      <c r="D10" s="6" t="n">
        <v>1503132498</v>
      </c>
      <c r="E10" s="12" t="n">
        <f aca="false">B10/$B$5*100</f>
        <v>102.833065810594</v>
      </c>
      <c r="F10" s="12" t="n">
        <f aca="false">C10/$C$5*100</f>
        <v>125.336921356481</v>
      </c>
      <c r="G10" s="7" t="n">
        <f aca="false">C10/B10</f>
        <v>39555.0465933037</v>
      </c>
    </row>
    <row r="11" customFormat="false" ht="15" hidden="false" customHeight="false" outlineLevel="0" collapsed="false">
      <c r="A11" s="11" t="n">
        <v>2020</v>
      </c>
      <c r="B11" s="6" t="n">
        <v>64108</v>
      </c>
      <c r="C11" s="6" t="n">
        <v>2634482413</v>
      </c>
      <c r="D11" s="6" t="n">
        <v>1497338321</v>
      </c>
      <c r="E11" s="12" t="n">
        <f aca="false">B11/$B$5*100</f>
        <v>102.902086677368</v>
      </c>
      <c r="F11" s="12" t="n">
        <f aca="false">C11/$C$5*100</f>
        <v>130.302154219648</v>
      </c>
      <c r="G11" s="7" t="n">
        <f aca="false">C11/B11</f>
        <v>41094.4408342173</v>
      </c>
    </row>
    <row r="12" customFormat="false" ht="15" hidden="false" customHeight="false" outlineLevel="0" collapsed="false">
      <c r="A12" s="11" t="n">
        <v>2021</v>
      </c>
      <c r="B12" s="6" t="n">
        <v>64576</v>
      </c>
      <c r="C12" s="6" t="n">
        <v>2699857883</v>
      </c>
      <c r="D12" s="6" t="n">
        <v>1500037987</v>
      </c>
      <c r="E12" s="12" t="n">
        <f aca="false">B12/$B$5*100</f>
        <v>103.653290529695</v>
      </c>
      <c r="F12" s="12" t="n">
        <f aca="false">C12/$C$5*100</f>
        <v>133.535641196857</v>
      </c>
      <c r="G12" s="7" t="n">
        <f aca="false">C12/B12</f>
        <v>41808.9984359514</v>
      </c>
    </row>
    <row r="13" customFormat="false" ht="15" hidden="false" customHeight="false" outlineLevel="0" collapsed="false">
      <c r="A13" s="11" t="n">
        <v>2022</v>
      </c>
      <c r="B13" s="6" t="n">
        <v>65348</v>
      </c>
      <c r="C13" s="6" t="n">
        <v>2806573009</v>
      </c>
      <c r="D13" s="6" t="n">
        <v>1543886604</v>
      </c>
      <c r="E13" s="12" t="n">
        <f aca="false">B13/$B$5*100</f>
        <v>104.892455858748</v>
      </c>
      <c r="F13" s="12" t="n">
        <f aca="false">C13/$C$5*100</f>
        <v>138.813797823375</v>
      </c>
      <c r="G13" s="7" t="n">
        <f aca="false">C13/B13</f>
        <v>42948.1087255922</v>
      </c>
    </row>
    <row r="14" customFormat="false" ht="15" hidden="false" customHeight="false" outlineLevel="0" collapsed="false">
      <c r="A14" s="11" t="n">
        <v>2023</v>
      </c>
      <c r="B14" s="6" t="n">
        <v>64369</v>
      </c>
      <c r="C14" s="6" t="n">
        <v>2949249174</v>
      </c>
      <c r="D14" s="6" t="n">
        <v>1616932462</v>
      </c>
      <c r="E14" s="12" t="n">
        <f aca="false">B14/$B$5*100</f>
        <v>103.321027287319</v>
      </c>
      <c r="F14" s="12" t="n">
        <f aca="false">C14/$C$5*100</f>
        <v>145.870596367013</v>
      </c>
      <c r="G14" s="7" t="n">
        <f aca="false">C14/B14</f>
        <v>45817.8498034768</v>
      </c>
    </row>
    <row r="15" customFormat="false" ht="15" hidden="false" customHeight="false" outlineLevel="0" collapsed="false">
      <c r="A15" s="11" t="n">
        <v>2024</v>
      </c>
      <c r="B15" s="6" t="n">
        <v>62507</v>
      </c>
      <c r="C15" s="6" t="n">
        <v>3141299307</v>
      </c>
      <c r="D15" s="6" t="n">
        <v>1711071471</v>
      </c>
      <c r="E15" s="12" t="n">
        <f aca="false">B15/$B$5*100</f>
        <v>100.332263242376</v>
      </c>
      <c r="F15" s="12" t="n">
        <f aca="false">C15/$C$5*100</f>
        <v>155.369443626188</v>
      </c>
      <c r="G15" s="7" t="n">
        <f aca="false">C15/B15</f>
        <v>50255.1603340426</v>
      </c>
    </row>
    <row r="16" customFormat="false" ht="15" hidden="false" customHeight="false" outlineLevel="0" collapsed="false">
      <c r="A16" s="11" t="n">
        <v>2025</v>
      </c>
      <c r="B16" s="6" t="n">
        <v>60629</v>
      </c>
      <c r="E16" s="12" t="n">
        <f aca="false">B16/$B$5*100</f>
        <v>97.3178170144462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0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B4" s="3" t="s">
        <v>113</v>
      </c>
      <c r="C4" s="3" t="s">
        <v>114</v>
      </c>
      <c r="D4" s="3" t="s">
        <v>115</v>
      </c>
    </row>
    <row r="5" customFormat="false" ht="28.35" hidden="false" customHeight="false" outlineLevel="0" collapsed="false">
      <c r="A5" s="0" t="s">
        <v>116</v>
      </c>
      <c r="B5" s="13" t="s">
        <v>117</v>
      </c>
      <c r="C5" s="13" t="s">
        <v>118</v>
      </c>
      <c r="D5" s="14" t="s">
        <v>119</v>
      </c>
    </row>
    <row r="6" customFormat="false" ht="28.35" hidden="false" customHeight="false" outlineLevel="0" collapsed="false">
      <c r="A6" s="0" t="s">
        <v>120</v>
      </c>
      <c r="B6" s="13" t="s">
        <v>121</v>
      </c>
      <c r="C6" s="13" t="s">
        <v>122</v>
      </c>
      <c r="D6" s="14" t="s">
        <v>119</v>
      </c>
    </row>
    <row r="7" customFormat="false" ht="28.35" hidden="false" customHeight="false" outlineLevel="0" collapsed="false">
      <c r="A7" s="0" t="s">
        <v>123</v>
      </c>
      <c r="B7" s="13" t="s">
        <v>124</v>
      </c>
      <c r="C7" s="13" t="s">
        <v>125</v>
      </c>
      <c r="D7" s="14" t="s">
        <v>126</v>
      </c>
    </row>
    <row r="8" customFormat="false" ht="28.35" hidden="false" customHeight="false" outlineLevel="0" collapsed="false">
      <c r="A8" s="0" t="s">
        <v>127</v>
      </c>
      <c r="B8" s="13" t="s">
        <v>128</v>
      </c>
      <c r="C8" s="13" t="s">
        <v>129</v>
      </c>
      <c r="D8" s="14" t="s">
        <v>130</v>
      </c>
    </row>
    <row r="9" customFormat="false" ht="28.35" hidden="false" customHeight="false" outlineLevel="0" collapsed="false">
      <c r="A9" s="0" t="s">
        <v>131</v>
      </c>
      <c r="B9" s="13" t="s">
        <v>132</v>
      </c>
      <c r="C9" s="13" t="s">
        <v>133</v>
      </c>
      <c r="D9" s="14" t="s">
        <v>134</v>
      </c>
    </row>
    <row r="10" customFormat="false" ht="28.35" hidden="false" customHeight="false" outlineLevel="0" collapsed="false">
      <c r="A10" s="0" t="s">
        <v>135</v>
      </c>
      <c r="B10" s="13" t="s">
        <v>136</v>
      </c>
      <c r="C10" s="13" t="s">
        <v>137</v>
      </c>
      <c r="D10" s="14" t="s">
        <v>138</v>
      </c>
    </row>
    <row r="11" customFormat="false" ht="28.35" hidden="false" customHeight="false" outlineLevel="0" collapsed="false">
      <c r="A11" s="0" t="s">
        <v>139</v>
      </c>
      <c r="B11" s="13" t="s">
        <v>140</v>
      </c>
      <c r="C11" s="13" t="s">
        <v>141</v>
      </c>
      <c r="D11" s="14" t="s">
        <v>142</v>
      </c>
    </row>
    <row r="12" customFormat="false" ht="28.35" hidden="false" customHeight="false" outlineLevel="0" collapsed="false">
      <c r="A12" s="0" t="s">
        <v>143</v>
      </c>
      <c r="B12" s="13" t="s">
        <v>144</v>
      </c>
      <c r="C12" s="13" t="s">
        <v>145</v>
      </c>
      <c r="D12" s="14" t="s">
        <v>146</v>
      </c>
    </row>
    <row r="13" customFormat="false" ht="15" hidden="false" customHeight="false" outlineLevel="0" collapsed="false">
      <c r="A13" s="0" t="s">
        <v>147</v>
      </c>
      <c r="B13" s="13" t="s">
        <v>148</v>
      </c>
      <c r="C13" s="13" t="s">
        <v>149</v>
      </c>
      <c r="D13" s="1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6" min="14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0"/>
  </cols>
  <sheetData>
    <row r="1" customFormat="false" ht="1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57.45" hidden="false" customHeight="false" outlineLevel="0" collapsed="false">
      <c r="A4" s="3" t="s">
        <v>153</v>
      </c>
      <c r="B4" s="3" t="s">
        <v>154</v>
      </c>
      <c r="C4" s="3" t="s">
        <v>82</v>
      </c>
      <c r="D4" s="3" t="s">
        <v>155</v>
      </c>
      <c r="E4" s="3" t="s">
        <v>156</v>
      </c>
      <c r="F4" s="3" t="s">
        <v>157</v>
      </c>
      <c r="G4" s="3" t="s">
        <v>158</v>
      </c>
      <c r="H4" s="3" t="s">
        <v>159</v>
      </c>
      <c r="I4" s="3" t="s">
        <v>160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161</v>
      </c>
      <c r="O4" s="3" t="s">
        <v>162</v>
      </c>
      <c r="P4" s="3" t="s">
        <v>163</v>
      </c>
      <c r="Q4" s="3" t="s">
        <v>164</v>
      </c>
      <c r="R4" s="3" t="s">
        <v>165</v>
      </c>
      <c r="S4" s="3" t="s">
        <v>166</v>
      </c>
      <c r="T4" s="3" t="s">
        <v>167</v>
      </c>
    </row>
    <row r="5" customFormat="false" ht="15" hidden="false" customHeight="false" outlineLevel="0" collapsed="false">
      <c r="A5" s="15" t="s">
        <v>168</v>
      </c>
      <c r="B5" s="15" t="s">
        <v>169</v>
      </c>
      <c r="C5" s="15" t="s">
        <v>72</v>
      </c>
      <c r="D5" s="6" t="n">
        <v>182400</v>
      </c>
      <c r="E5" s="6" t="n">
        <v>32138</v>
      </c>
      <c r="F5" s="16" t="n">
        <v>0.176</v>
      </c>
      <c r="G5" s="16" t="n">
        <v>0.068</v>
      </c>
      <c r="H5" s="16" t="n">
        <v>0.201</v>
      </c>
      <c r="I5" s="16" t="n">
        <v>0.069</v>
      </c>
      <c r="J5" s="6" t="n">
        <v>41</v>
      </c>
      <c r="K5" s="6" t="n">
        <v>30</v>
      </c>
      <c r="L5" s="7" t="n">
        <f aca="false">K5-J5</f>
        <v>-11</v>
      </c>
      <c r="M5" s="10" t="n">
        <f aca="false">IF(J5=0,"",K5/J5-1)</f>
        <v>-0.268292682926829</v>
      </c>
      <c r="N5" s="17" t="n">
        <f aca="false">K5/D5*10000</f>
        <v>1.64473684210526</v>
      </c>
      <c r="O5" s="7" t="n">
        <f aca="false">IF(K5=0,"none",D5/K5)</f>
        <v>6080</v>
      </c>
      <c r="P5" s="7" t="n">
        <f aca="false">IF(K5=0,"none",E5/K5)</f>
        <v>1071.26666666667</v>
      </c>
      <c r="Q5" s="16" t="n">
        <v>0.143</v>
      </c>
      <c r="R5" s="16" t="n">
        <v>0.395</v>
      </c>
      <c r="S5" s="16" t="n">
        <v>0.086</v>
      </c>
      <c r="T5" s="6" t="n">
        <v>0</v>
      </c>
    </row>
    <row r="6" customFormat="false" ht="15" hidden="false" customHeight="false" outlineLevel="0" collapsed="false">
      <c r="A6" s="15" t="s">
        <v>170</v>
      </c>
      <c r="B6" s="15" t="s">
        <v>171</v>
      </c>
      <c r="C6" s="15" t="s">
        <v>72</v>
      </c>
      <c r="D6" s="6" t="n">
        <v>570567</v>
      </c>
      <c r="E6" s="6" t="n">
        <v>92683</v>
      </c>
      <c r="F6" s="16" t="n">
        <v>0.162</v>
      </c>
      <c r="G6" s="16" t="n">
        <v>0.07</v>
      </c>
      <c r="H6" s="16" t="n">
        <v>0.165</v>
      </c>
      <c r="I6" s="16" t="n">
        <v>0.053</v>
      </c>
      <c r="J6" s="6" t="n">
        <v>174</v>
      </c>
      <c r="K6" s="6" t="n">
        <v>121</v>
      </c>
      <c r="L6" s="7" t="n">
        <f aca="false">K6-J6</f>
        <v>-53</v>
      </c>
      <c r="M6" s="10" t="n">
        <f aca="false">IF(J6=0,"",K6/J6-1)</f>
        <v>-0.304597701149425</v>
      </c>
      <c r="N6" s="17" t="n">
        <f aca="false">K6/D6*10000</f>
        <v>2.12069748162792</v>
      </c>
      <c r="O6" s="7" t="n">
        <f aca="false">IF(K6=0,"none",D6/K6)</f>
        <v>4715.42975206612</v>
      </c>
      <c r="P6" s="7" t="n">
        <f aca="false">IF(K6=0,"none",E6/K6)</f>
        <v>765.97520661157</v>
      </c>
      <c r="Q6" s="16" t="n">
        <v>0.122</v>
      </c>
      <c r="R6" s="16" t="n">
        <v>0.352</v>
      </c>
      <c r="S6" s="16" t="n">
        <v>0.079</v>
      </c>
      <c r="T6" s="6" t="n">
        <v>1</v>
      </c>
    </row>
    <row r="7" customFormat="false" ht="15" hidden="false" customHeight="false" outlineLevel="0" collapsed="false">
      <c r="A7" s="15" t="s">
        <v>172</v>
      </c>
      <c r="B7" s="15" t="s">
        <v>173</v>
      </c>
      <c r="C7" s="15" t="s">
        <v>72</v>
      </c>
      <c r="D7" s="6" t="n">
        <v>240668</v>
      </c>
      <c r="E7" s="6" t="n">
        <v>70195</v>
      </c>
      <c r="F7" s="16" t="n">
        <v>0.292</v>
      </c>
      <c r="G7" s="16" t="n">
        <v>0.036</v>
      </c>
      <c r="H7" s="16" t="n">
        <v>0.185</v>
      </c>
      <c r="I7" s="16" t="n">
        <v>0.069</v>
      </c>
      <c r="J7" s="6" t="n">
        <v>66</v>
      </c>
      <c r="K7" s="6" t="n">
        <v>49</v>
      </c>
      <c r="L7" s="7" t="n">
        <f aca="false">K7-J7</f>
        <v>-17</v>
      </c>
      <c r="M7" s="10" t="n">
        <f aca="false">IF(J7=0,"",K7/J7-1)</f>
        <v>-0.257575757575758</v>
      </c>
      <c r="N7" s="17" t="n">
        <f aca="false">K7/D7*10000</f>
        <v>2.03599980055512</v>
      </c>
      <c r="O7" s="7" t="n">
        <f aca="false">IF(K7=0,"none",D7/K7)</f>
        <v>4911.59183673469</v>
      </c>
      <c r="P7" s="7" t="n">
        <f aca="false">IF(K7=0,"none",E7/K7)</f>
        <v>1432.55102040816</v>
      </c>
      <c r="Q7" s="16" t="n">
        <v>0.142</v>
      </c>
      <c r="R7" s="16" t="n">
        <v>0.434</v>
      </c>
      <c r="S7" s="16" t="n">
        <v>0.065</v>
      </c>
      <c r="T7" s="6" t="n">
        <v>1</v>
      </c>
    </row>
    <row r="8" customFormat="false" ht="15" hidden="false" customHeight="false" outlineLevel="0" collapsed="false">
      <c r="A8" s="15" t="s">
        <v>174</v>
      </c>
      <c r="B8" s="15" t="s">
        <v>175</v>
      </c>
      <c r="C8" s="15" t="s">
        <v>73</v>
      </c>
      <c r="D8" s="6" t="n">
        <v>68161</v>
      </c>
      <c r="E8" s="6" t="n">
        <v>14172</v>
      </c>
      <c r="F8" s="16" t="n">
        <v>0.208</v>
      </c>
      <c r="G8" s="16" t="n">
        <v>0.096</v>
      </c>
      <c r="H8" s="16" t="n">
        <v>0.264</v>
      </c>
      <c r="I8" s="16" t="n">
        <v>0.04</v>
      </c>
      <c r="J8" s="6" t="n">
        <v>20</v>
      </c>
      <c r="K8" s="6" t="n">
        <v>16</v>
      </c>
      <c r="L8" s="7" t="n">
        <f aca="false">K8-J8</f>
        <v>-4</v>
      </c>
      <c r="M8" s="10" t="n">
        <f aca="false">IF(J8=0,"",K8/J8-1)</f>
        <v>-0.2</v>
      </c>
      <c r="N8" s="17" t="n">
        <f aca="false">K8/D8*10000</f>
        <v>2.34738340106513</v>
      </c>
      <c r="O8" s="7" t="n">
        <f aca="false">IF(K8=0,"none",D8/K8)</f>
        <v>4260.0625</v>
      </c>
      <c r="P8" s="7" t="n">
        <f aca="false">IF(K8=0,"none",E8/K8)</f>
        <v>885.75</v>
      </c>
      <c r="Q8" s="16" t="n">
        <v>0.133</v>
      </c>
      <c r="R8" s="16" t="n">
        <v>0.396</v>
      </c>
      <c r="S8" s="16" t="n">
        <v>0.088</v>
      </c>
      <c r="T8" s="6" t="n">
        <v>0</v>
      </c>
    </row>
    <row r="9" customFormat="false" ht="15" hidden="false" customHeight="false" outlineLevel="0" collapsed="false">
      <c r="A9" s="15" t="s">
        <v>176</v>
      </c>
      <c r="B9" s="15" t="s">
        <v>177</v>
      </c>
      <c r="C9" s="15" t="s">
        <v>73</v>
      </c>
      <c r="D9" s="6" t="n">
        <v>588109</v>
      </c>
      <c r="E9" s="6" t="n">
        <v>90442</v>
      </c>
      <c r="F9" s="16" t="n">
        <v>0.154</v>
      </c>
      <c r="G9" s="16" t="n">
        <v>0.038</v>
      </c>
      <c r="H9" s="16" t="n">
        <v>0.097</v>
      </c>
      <c r="I9" s="16" t="n">
        <v>0.045</v>
      </c>
      <c r="J9" s="6" t="n">
        <v>113</v>
      </c>
      <c r="K9" s="6" t="n">
        <v>109</v>
      </c>
      <c r="L9" s="7" t="n">
        <f aca="false">K9-J9</f>
        <v>-4</v>
      </c>
      <c r="M9" s="10" t="n">
        <f aca="false">IF(J9=0,"",K9/J9-1)</f>
        <v>-0.0353982300884956</v>
      </c>
      <c r="N9" s="17" t="n">
        <f aca="false">K9/D9*10000</f>
        <v>1.8533979245344</v>
      </c>
      <c r="O9" s="7" t="n">
        <f aca="false">IF(K9=0,"none",D9/K9)</f>
        <v>5395.49541284404</v>
      </c>
      <c r="P9" s="7" t="n">
        <f aca="false">IF(K9=0,"none",E9/K9)</f>
        <v>829.743119266055</v>
      </c>
      <c r="Q9" s="16" t="n">
        <v>0.104</v>
      </c>
      <c r="R9" s="16" t="n">
        <v>0.345</v>
      </c>
      <c r="S9" s="16" t="n">
        <v>0.06</v>
      </c>
      <c r="T9" s="6" t="n">
        <v>1</v>
      </c>
    </row>
    <row r="10" customFormat="false" ht="15" hidden="false" customHeight="false" outlineLevel="0" collapsed="false">
      <c r="A10" s="15" t="s">
        <v>178</v>
      </c>
      <c r="B10" s="15" t="s">
        <v>179</v>
      </c>
      <c r="C10" s="15" t="s">
        <v>73</v>
      </c>
      <c r="D10" s="6" t="n">
        <v>584548</v>
      </c>
      <c r="E10" s="6" t="n">
        <v>86395</v>
      </c>
      <c r="F10" s="16" t="n">
        <v>0.148</v>
      </c>
      <c r="G10" s="16" t="n">
        <v>0.265</v>
      </c>
      <c r="H10" s="16" t="n">
        <v>0.294</v>
      </c>
      <c r="I10" s="16" t="n">
        <v>0.055</v>
      </c>
      <c r="J10" s="6" t="n">
        <v>124</v>
      </c>
      <c r="K10" s="6" t="n">
        <v>88</v>
      </c>
      <c r="L10" s="7" t="n">
        <f aca="false">K10-J10</f>
        <v>-36</v>
      </c>
      <c r="M10" s="10" t="n">
        <f aca="false">IF(J10=0,"",K10/J10-1)</f>
        <v>-0.290322580645161</v>
      </c>
      <c r="N10" s="17" t="n">
        <f aca="false">K10/D10*10000</f>
        <v>1.5054366792804</v>
      </c>
      <c r="O10" s="7" t="n">
        <f aca="false">IF(K10=0,"none",D10/K10)</f>
        <v>6642.59090909091</v>
      </c>
      <c r="P10" s="7" t="n">
        <f aca="false">IF(K10=0,"none",E10/K10)</f>
        <v>981.761363636364</v>
      </c>
      <c r="Q10" s="16" t="n">
        <v>0.144</v>
      </c>
      <c r="R10" s="16" t="n">
        <v>0.406</v>
      </c>
      <c r="S10" s="16" t="n">
        <v>0.127</v>
      </c>
      <c r="T10" s="6" t="n">
        <v>0</v>
      </c>
    </row>
    <row r="11" customFormat="false" ht="15" hidden="false" customHeight="false" outlineLevel="0" collapsed="false">
      <c r="A11" s="15" t="s">
        <v>180</v>
      </c>
      <c r="B11" s="15" t="s">
        <v>179</v>
      </c>
      <c r="C11" s="15" t="s">
        <v>73</v>
      </c>
      <c r="D11" s="6" t="n">
        <v>850737</v>
      </c>
      <c r="E11" s="6" t="n">
        <v>149892</v>
      </c>
      <c r="F11" s="16" t="n">
        <v>0.176</v>
      </c>
      <c r="G11" s="16" t="n">
        <v>0.078</v>
      </c>
      <c r="H11" s="16" t="n">
        <v>0.161</v>
      </c>
      <c r="I11" s="16" t="n">
        <v>0.053</v>
      </c>
      <c r="J11" s="6" t="n">
        <v>169</v>
      </c>
      <c r="K11" s="6" t="n">
        <v>142</v>
      </c>
      <c r="L11" s="7" t="n">
        <f aca="false">K11-J11</f>
        <v>-27</v>
      </c>
      <c r="M11" s="10" t="n">
        <f aca="false">IF(J11=0,"",K11/J11-1)</f>
        <v>-0.159763313609468</v>
      </c>
      <c r="N11" s="17" t="n">
        <f aca="false">K11/D11*10000</f>
        <v>1.6691409918694</v>
      </c>
      <c r="O11" s="7" t="n">
        <f aca="false">IF(K11=0,"none",D11/K11)</f>
        <v>5991.10563380282</v>
      </c>
      <c r="P11" s="7" t="n">
        <f aca="false">IF(K11=0,"none",E11/K11)</f>
        <v>1055.57746478873</v>
      </c>
      <c r="Q11" s="16" t="n">
        <v>0.131</v>
      </c>
      <c r="R11" s="16" t="n">
        <v>0.367</v>
      </c>
      <c r="S11" s="16" t="n">
        <v>0.081</v>
      </c>
      <c r="T11" s="6" t="n">
        <v>7</v>
      </c>
    </row>
    <row r="12" customFormat="false" ht="15" hidden="false" customHeight="false" outlineLevel="0" collapsed="false">
      <c r="A12" s="15" t="s">
        <v>181</v>
      </c>
      <c r="B12" s="15" t="s">
        <v>182</v>
      </c>
      <c r="C12" s="15" t="s">
        <v>73</v>
      </c>
      <c r="D12" s="6" t="n">
        <v>93244</v>
      </c>
      <c r="E12" s="6" t="n">
        <v>14454</v>
      </c>
      <c r="F12" s="16" t="n">
        <v>0.155</v>
      </c>
      <c r="G12" s="16" t="n">
        <v>0.031</v>
      </c>
      <c r="H12" s="16" t="n">
        <v>0.078</v>
      </c>
      <c r="I12" s="16" t="n">
        <v>0.032</v>
      </c>
      <c r="J12" s="6" t="n">
        <v>12</v>
      </c>
      <c r="K12" s="6" t="n">
        <v>12</v>
      </c>
      <c r="L12" s="7" t="n">
        <f aca="false">K12-J12</f>
        <v>0</v>
      </c>
      <c r="M12" s="10" t="n">
        <f aca="false">IF(J12=0,"",K12/J12-1)</f>
        <v>0</v>
      </c>
      <c r="N12" s="17" t="n">
        <f aca="false">K12/D12*10000</f>
        <v>1.28694607695938</v>
      </c>
      <c r="O12" s="7" t="n">
        <f aca="false">IF(K12=0,"none",D12/K12)</f>
        <v>7770.33333333333</v>
      </c>
      <c r="P12" s="7" t="n">
        <f aca="false">IF(K12=0,"none",E12/K12)</f>
        <v>1204.5</v>
      </c>
      <c r="Q12" s="16" t="n">
        <v>0.109</v>
      </c>
      <c r="R12" s="16" t="n">
        <v>0.369</v>
      </c>
      <c r="S12" s="16" t="n">
        <v>0.059</v>
      </c>
      <c r="T12" s="6" t="n">
        <v>1</v>
      </c>
    </row>
    <row r="13" customFormat="false" ht="15" hidden="false" customHeight="false" outlineLevel="0" collapsed="false">
      <c r="A13" s="15" t="s">
        <v>183</v>
      </c>
      <c r="B13" s="15" t="s">
        <v>184</v>
      </c>
      <c r="C13" s="15" t="s">
        <v>73</v>
      </c>
      <c r="D13" s="6" t="n">
        <v>33320</v>
      </c>
      <c r="E13" s="6" t="n">
        <v>5635</v>
      </c>
      <c r="F13" s="16" t="n">
        <v>0.169</v>
      </c>
      <c r="G13" s="16" t="n">
        <v>0.061</v>
      </c>
      <c r="H13" s="16" t="n">
        <v>0.266</v>
      </c>
      <c r="I13" s="16" t="n">
        <v>0.068</v>
      </c>
      <c r="J13" s="6" t="n">
        <v>6</v>
      </c>
      <c r="K13" s="6" t="n">
        <v>6</v>
      </c>
      <c r="L13" s="7" t="n">
        <f aca="false">K13-J13</f>
        <v>0</v>
      </c>
      <c r="M13" s="10" t="n">
        <f aca="false">IF(J13=0,"",K13/J13-1)</f>
        <v>0</v>
      </c>
      <c r="N13" s="17" t="n">
        <f aca="false">K13/D13*10000</f>
        <v>1.80072028811525</v>
      </c>
      <c r="O13" s="7" t="n">
        <f aca="false">IF(K13=0,"none",D13/K13)</f>
        <v>5553.33333333333</v>
      </c>
      <c r="P13" s="7" t="n">
        <f aca="false">IF(K13=0,"none",E13/K13)</f>
        <v>939.166666666667</v>
      </c>
      <c r="Q13" s="16" t="n">
        <v>0.142</v>
      </c>
      <c r="R13" s="16" t="n">
        <v>0.413</v>
      </c>
      <c r="S13" s="16" t="n">
        <v>0.094</v>
      </c>
      <c r="T13" s="6" t="n">
        <v>0</v>
      </c>
    </row>
    <row r="14" customFormat="false" ht="15" hidden="false" customHeight="false" outlineLevel="0" collapsed="false">
      <c r="A14" s="15" t="s">
        <v>185</v>
      </c>
      <c r="B14" s="15" t="s">
        <v>186</v>
      </c>
      <c r="C14" s="15" t="s">
        <v>73</v>
      </c>
      <c r="D14" s="6" t="n">
        <v>173225</v>
      </c>
      <c r="E14" s="6" t="n">
        <v>30086</v>
      </c>
      <c r="F14" s="16" t="n">
        <v>0.174</v>
      </c>
      <c r="G14" s="16" t="n">
        <v>0.04</v>
      </c>
      <c r="H14" s="16" t="n">
        <v>0.089</v>
      </c>
      <c r="I14" s="16" t="n">
        <v>0.029</v>
      </c>
      <c r="J14" s="6" t="n">
        <v>32</v>
      </c>
      <c r="K14" s="6" t="n">
        <v>25</v>
      </c>
      <c r="L14" s="7" t="n">
        <f aca="false">K14-J14</f>
        <v>-7</v>
      </c>
      <c r="M14" s="10" t="n">
        <f aca="false">IF(J14=0,"",K14/J14-1)</f>
        <v>-0.21875</v>
      </c>
      <c r="N14" s="17" t="n">
        <f aca="false">K14/D14*10000</f>
        <v>1.44320969836917</v>
      </c>
      <c r="O14" s="7" t="n">
        <f aca="false">IF(K14=0,"none",D14/K14)</f>
        <v>6929</v>
      </c>
      <c r="P14" s="7" t="n">
        <f aca="false">IF(K14=0,"none",E14/K14)</f>
        <v>1203.44</v>
      </c>
      <c r="Q14" s="16" t="n">
        <v>0.103</v>
      </c>
      <c r="R14" s="16" t="n">
        <v>0.344</v>
      </c>
      <c r="S14" s="16" t="n">
        <v>0.053</v>
      </c>
      <c r="T14" s="6" t="n">
        <v>2</v>
      </c>
    </row>
    <row r="15" customFormat="false" ht="15" hidden="false" customHeight="false" outlineLevel="0" collapsed="false">
      <c r="A15" s="15" t="s">
        <v>187</v>
      </c>
      <c r="B15" s="15" t="s">
        <v>188</v>
      </c>
      <c r="C15" s="15" t="s">
        <v>73</v>
      </c>
      <c r="D15" s="6" t="n">
        <v>103876</v>
      </c>
      <c r="E15" s="6" t="n">
        <v>17005</v>
      </c>
      <c r="F15" s="16" t="n">
        <v>0.164</v>
      </c>
      <c r="G15" s="16" t="n">
        <v>0.052</v>
      </c>
      <c r="H15" s="16" t="n">
        <v>0.176</v>
      </c>
      <c r="I15" s="16" t="n">
        <v>0.039</v>
      </c>
      <c r="J15" s="6" t="n">
        <v>18</v>
      </c>
      <c r="K15" s="6" t="n">
        <v>15</v>
      </c>
      <c r="L15" s="7" t="n">
        <f aca="false">K15-J15</f>
        <v>-3</v>
      </c>
      <c r="M15" s="10" t="n">
        <f aca="false">IF(J15=0,"",K15/J15-1)</f>
        <v>-0.166666666666667</v>
      </c>
      <c r="N15" s="17" t="n">
        <f aca="false">K15/D15*10000</f>
        <v>1.44402941969271</v>
      </c>
      <c r="O15" s="7" t="n">
        <f aca="false">IF(K15=0,"none",D15/K15)</f>
        <v>6925.06666666667</v>
      </c>
      <c r="P15" s="7" t="n">
        <f aca="false">IF(K15=0,"none",E15/K15)</f>
        <v>1133.66666666667</v>
      </c>
      <c r="Q15" s="16" t="n">
        <v>0.132</v>
      </c>
      <c r="R15" s="16" t="n">
        <v>0.392</v>
      </c>
      <c r="S15" s="16" t="n">
        <v>0.071</v>
      </c>
      <c r="T15" s="6" t="n">
        <v>0</v>
      </c>
    </row>
    <row r="16" customFormat="false" ht="15" hidden="false" customHeight="false" outlineLevel="0" collapsed="false">
      <c r="A16" s="15" t="s">
        <v>189</v>
      </c>
      <c r="B16" s="15" t="s">
        <v>190</v>
      </c>
      <c r="C16" s="15" t="s">
        <v>73</v>
      </c>
      <c r="D16" s="6" t="n">
        <v>167035</v>
      </c>
      <c r="E16" s="6" t="n">
        <v>21545</v>
      </c>
      <c r="F16" s="16" t="n">
        <v>0.129</v>
      </c>
      <c r="G16" s="16" t="n">
        <v>0.033</v>
      </c>
      <c r="H16" s="16" t="n">
        <v>0.101</v>
      </c>
      <c r="I16" s="16" t="n">
        <v>0.04</v>
      </c>
      <c r="J16" s="6" t="n">
        <v>30</v>
      </c>
      <c r="K16" s="6" t="n">
        <v>29</v>
      </c>
      <c r="L16" s="7" t="n">
        <f aca="false">K16-J16</f>
        <v>-1</v>
      </c>
      <c r="M16" s="10" t="n">
        <f aca="false">IF(J16=0,"",K16/J16-1)</f>
        <v>-0.0333333333333333</v>
      </c>
      <c r="N16" s="17" t="n">
        <f aca="false">K16/D16*10000</f>
        <v>1.7361630795941</v>
      </c>
      <c r="O16" s="7" t="n">
        <f aca="false">IF(K16=0,"none",D16/K16)</f>
        <v>5759.8275862069</v>
      </c>
      <c r="P16" s="7" t="n">
        <f aca="false">IF(K16=0,"none",E16/K16)</f>
        <v>742.931034482759</v>
      </c>
      <c r="Q16" s="16" t="n">
        <v>0.134</v>
      </c>
      <c r="R16" s="16" t="n">
        <v>0.414</v>
      </c>
      <c r="S16" s="16" t="n">
        <v>0.085</v>
      </c>
      <c r="T16" s="6" t="n">
        <v>1</v>
      </c>
    </row>
    <row r="17" customFormat="false" ht="15" hidden="false" customHeight="false" outlineLevel="0" collapsed="false">
      <c r="A17" s="15" t="s">
        <v>191</v>
      </c>
      <c r="B17" s="15" t="s">
        <v>192</v>
      </c>
      <c r="C17" s="15" t="s">
        <v>73</v>
      </c>
      <c r="D17" s="6" t="n">
        <v>32557</v>
      </c>
      <c r="E17" s="6" t="n">
        <v>7145</v>
      </c>
      <c r="F17" s="16" t="n">
        <v>0.219</v>
      </c>
      <c r="G17" s="16" t="n">
        <v>0.1</v>
      </c>
      <c r="H17" s="16" t="n">
        <v>0.256</v>
      </c>
      <c r="I17" s="16" t="n">
        <v>0.052</v>
      </c>
      <c r="J17" s="6" t="n">
        <v>6</v>
      </c>
      <c r="K17" s="6" t="n">
        <v>5</v>
      </c>
      <c r="L17" s="7" t="n">
        <f aca="false">K17-J17</f>
        <v>-1</v>
      </c>
      <c r="M17" s="10" t="n">
        <f aca="false">IF(J17=0,"",K17/J17-1)</f>
        <v>-0.166666666666667</v>
      </c>
      <c r="N17" s="17" t="n">
        <f aca="false">K17/D17*10000</f>
        <v>1.5357680375956</v>
      </c>
      <c r="O17" s="7" t="n">
        <f aca="false">IF(K17=0,"none",D17/K17)</f>
        <v>6511.4</v>
      </c>
      <c r="P17" s="7" t="n">
        <f aca="false">IF(K17=0,"none",E17/K17)</f>
        <v>1429</v>
      </c>
      <c r="Q17" s="16" t="n">
        <v>0.166</v>
      </c>
      <c r="R17" s="16" t="n">
        <v>0.442</v>
      </c>
      <c r="S17" s="16" t="n">
        <v>0.098</v>
      </c>
      <c r="T17" s="6" t="n">
        <v>0</v>
      </c>
    </row>
    <row r="18" customFormat="false" ht="15" hidden="false" customHeight="false" outlineLevel="0" collapsed="false">
      <c r="A18" s="15" t="s">
        <v>193</v>
      </c>
      <c r="B18" s="15" t="s">
        <v>194</v>
      </c>
      <c r="C18" s="15" t="s">
        <v>73</v>
      </c>
      <c r="D18" s="6" t="n">
        <v>273829</v>
      </c>
      <c r="E18" s="6" t="n">
        <v>40796</v>
      </c>
      <c r="F18" s="16" t="n">
        <v>0.149</v>
      </c>
      <c r="G18" s="16" t="n">
        <v>0.039</v>
      </c>
      <c r="H18" s="16" t="n">
        <v>0.096</v>
      </c>
      <c r="I18" s="16" t="n">
        <v>0.045</v>
      </c>
      <c r="J18" s="6" t="n">
        <v>47</v>
      </c>
      <c r="K18" s="6" t="n">
        <v>39</v>
      </c>
      <c r="L18" s="7" t="n">
        <f aca="false">K18-J18</f>
        <v>-8</v>
      </c>
      <c r="M18" s="10" t="n">
        <f aca="false">IF(J18=0,"",K18/J18-1)</f>
        <v>-0.170212765957447</v>
      </c>
      <c r="N18" s="17" t="n">
        <f aca="false">K18/D18*10000</f>
        <v>1.42424651881284</v>
      </c>
      <c r="O18" s="7" t="n">
        <f aca="false">IF(K18=0,"none",D18/K18)</f>
        <v>7021.25641025641</v>
      </c>
      <c r="P18" s="7" t="n">
        <f aca="false">IF(K18=0,"none",E18/K18)</f>
        <v>1046.05128205128</v>
      </c>
      <c r="Q18" s="16" t="n">
        <v>0.106</v>
      </c>
      <c r="R18" s="16" t="n">
        <v>0.339</v>
      </c>
      <c r="S18" s="16" t="n">
        <v>0.059</v>
      </c>
      <c r="T18" s="6" t="n">
        <v>7</v>
      </c>
    </row>
    <row r="19" customFormat="false" ht="15" hidden="false" customHeight="false" outlineLevel="0" collapsed="false">
      <c r="A19" s="15" t="s">
        <v>195</v>
      </c>
      <c r="B19" s="15" t="s">
        <v>196</v>
      </c>
      <c r="C19" s="15" t="s">
        <v>73</v>
      </c>
      <c r="D19" s="6" t="n">
        <v>28856</v>
      </c>
      <c r="E19" s="6" t="n">
        <v>6627</v>
      </c>
      <c r="F19" s="16" t="n">
        <v>0.23</v>
      </c>
      <c r="G19" s="16" t="n">
        <v>0.074</v>
      </c>
      <c r="H19" s="16" t="n">
        <v>0.201</v>
      </c>
      <c r="I19" s="16" t="n">
        <v>0.058</v>
      </c>
      <c r="J19" s="6" t="n">
        <v>9</v>
      </c>
      <c r="K19" s="6" t="n">
        <v>8</v>
      </c>
      <c r="L19" s="7" t="n">
        <f aca="false">K19-J19</f>
        <v>-1</v>
      </c>
      <c r="M19" s="10" t="n">
        <f aca="false">IF(J19=0,"",K19/J19-1)</f>
        <v>-0.111111111111111</v>
      </c>
      <c r="N19" s="17" t="n">
        <f aca="false">K19/D19*10000</f>
        <v>2.77238702522872</v>
      </c>
      <c r="O19" s="7" t="n">
        <f aca="false">IF(K19=0,"none",D19/K19)</f>
        <v>3607</v>
      </c>
      <c r="P19" s="7" t="n">
        <f aca="false">IF(K19=0,"none",E19/K19)</f>
        <v>828.375</v>
      </c>
      <c r="Q19" s="16" t="n">
        <v>0.141</v>
      </c>
      <c r="R19" s="16" t="n">
        <v>0.424</v>
      </c>
      <c r="S19" s="16" t="n">
        <v>0.066</v>
      </c>
      <c r="T19" s="6" t="n">
        <v>0</v>
      </c>
    </row>
    <row r="20" customFormat="false" ht="15" hidden="false" customHeight="false" outlineLevel="0" collapsed="false">
      <c r="A20" s="15" t="s">
        <v>197</v>
      </c>
      <c r="B20" s="15" t="s">
        <v>198</v>
      </c>
      <c r="C20" s="15" t="s">
        <v>73</v>
      </c>
      <c r="D20" s="6" t="n">
        <v>261059</v>
      </c>
      <c r="E20" s="6" t="n">
        <v>43523</v>
      </c>
      <c r="F20" s="16" t="n">
        <v>0.167</v>
      </c>
      <c r="G20" s="16" t="n">
        <v>0.04</v>
      </c>
      <c r="H20" s="16" t="n">
        <v>0.119</v>
      </c>
      <c r="I20" s="16" t="n">
        <v>0.035</v>
      </c>
      <c r="J20" s="6" t="n">
        <v>58</v>
      </c>
      <c r="K20" s="6" t="n">
        <v>47</v>
      </c>
      <c r="L20" s="7" t="n">
        <f aca="false">K20-J20</f>
        <v>-11</v>
      </c>
      <c r="M20" s="10" t="n">
        <f aca="false">IF(J20=0,"",K20/J20-1)</f>
        <v>-0.189655172413793</v>
      </c>
      <c r="N20" s="17" t="n">
        <f aca="false">K20/D20*10000</f>
        <v>1.80035930575081</v>
      </c>
      <c r="O20" s="7" t="n">
        <f aca="false">IF(K20=0,"none",D20/K20)</f>
        <v>5554.44680851064</v>
      </c>
      <c r="P20" s="7" t="n">
        <f aca="false">IF(K20=0,"none",E20/K20)</f>
        <v>926.021276595745</v>
      </c>
      <c r="Q20" s="16" t="n">
        <v>0.116</v>
      </c>
      <c r="R20" s="16" t="n">
        <v>0.359</v>
      </c>
      <c r="S20" s="16" t="n">
        <v>0.061</v>
      </c>
      <c r="T20" s="6" t="n">
        <v>2</v>
      </c>
    </row>
    <row r="21" customFormat="false" ht="15" hidden="false" customHeight="false" outlineLevel="0" collapsed="false">
      <c r="A21" s="15" t="s">
        <v>199</v>
      </c>
      <c r="B21" s="15" t="s">
        <v>200</v>
      </c>
      <c r="C21" s="15" t="s">
        <v>73</v>
      </c>
      <c r="D21" s="6" t="n">
        <v>332011</v>
      </c>
      <c r="E21" s="6" t="n">
        <v>48061</v>
      </c>
      <c r="F21" s="16" t="n">
        <v>0.145</v>
      </c>
      <c r="G21" s="16" t="n">
        <v>0.04</v>
      </c>
      <c r="H21" s="16" t="n">
        <v>0.087</v>
      </c>
      <c r="I21" s="16" t="n">
        <v>0.039</v>
      </c>
      <c r="J21" s="6" t="n">
        <v>53</v>
      </c>
      <c r="K21" s="6" t="n">
        <v>46</v>
      </c>
      <c r="L21" s="7" t="n">
        <f aca="false">K21-J21</f>
        <v>-7</v>
      </c>
      <c r="M21" s="10" t="n">
        <f aca="false">IF(J21=0,"",K21/J21-1)</f>
        <v>-0.132075471698113</v>
      </c>
      <c r="N21" s="17" t="n">
        <f aca="false">K21/D21*10000</f>
        <v>1.38549626367801</v>
      </c>
      <c r="O21" s="7" t="n">
        <f aca="false">IF(K21=0,"none",D21/K21)</f>
        <v>7217.63043478261</v>
      </c>
      <c r="P21" s="7" t="n">
        <f aca="false">IF(K21=0,"none",E21/K21)</f>
        <v>1044.80434782609</v>
      </c>
      <c r="Q21" s="16" t="n">
        <v>0.104</v>
      </c>
      <c r="R21" s="16" t="n">
        <v>0.345</v>
      </c>
      <c r="S21" s="16" t="n">
        <v>0.053</v>
      </c>
      <c r="T21" s="6" t="n">
        <v>3</v>
      </c>
    </row>
    <row r="22" customFormat="false" ht="15" hidden="false" customHeight="false" outlineLevel="0" collapsed="false">
      <c r="A22" s="15" t="s">
        <v>201</v>
      </c>
      <c r="B22" s="15" t="s">
        <v>169</v>
      </c>
      <c r="C22" s="15" t="s">
        <v>73</v>
      </c>
      <c r="D22" s="6" t="n">
        <v>19289</v>
      </c>
      <c r="E22" s="6" t="n">
        <v>5169</v>
      </c>
      <c r="F22" s="16" t="n">
        <v>0.268</v>
      </c>
      <c r="G22" s="16" t="n">
        <v>0.065</v>
      </c>
      <c r="H22" s="16" t="n">
        <v>0.176</v>
      </c>
      <c r="I22" s="16" t="n">
        <v>0.043</v>
      </c>
      <c r="J22" s="6" t="n">
        <v>7</v>
      </c>
      <c r="K22" s="6" t="n">
        <v>6</v>
      </c>
      <c r="L22" s="7" t="n">
        <f aca="false">K22-J22</f>
        <v>-1</v>
      </c>
      <c r="M22" s="10" t="n">
        <f aca="false">IF(J22=0,"",K22/J22-1)</f>
        <v>-0.142857142857143</v>
      </c>
      <c r="N22" s="17" t="n">
        <f aca="false">K22/D22*10000</f>
        <v>3.11058116024677</v>
      </c>
      <c r="O22" s="7" t="n">
        <f aca="false">IF(K22=0,"none",D22/K22)</f>
        <v>3214.83333333333</v>
      </c>
      <c r="P22" s="7" t="n">
        <f aca="false">IF(K22=0,"none",E22/K22)</f>
        <v>861.5</v>
      </c>
      <c r="Q22" s="16" t="n">
        <v>0.137</v>
      </c>
      <c r="R22" s="16" t="n">
        <v>0.43</v>
      </c>
      <c r="S22" s="16" t="n">
        <v>0.068</v>
      </c>
      <c r="T22" s="6" t="n">
        <v>0</v>
      </c>
    </row>
    <row r="23" customFormat="false" ht="15" hidden="false" customHeight="false" outlineLevel="0" collapsed="false">
      <c r="A23" s="15" t="s">
        <v>202</v>
      </c>
      <c r="B23" s="15" t="s">
        <v>203</v>
      </c>
      <c r="C23" s="15" t="s">
        <v>73</v>
      </c>
      <c r="D23" s="6" t="n">
        <v>1056910</v>
      </c>
      <c r="E23" s="6" t="n">
        <v>170697</v>
      </c>
      <c r="F23" s="16" t="n">
        <v>0.162</v>
      </c>
      <c r="G23" s="16" t="n">
        <v>0.079</v>
      </c>
      <c r="H23" s="16" t="n">
        <v>0.12</v>
      </c>
      <c r="I23" s="16" t="n">
        <v>0.067</v>
      </c>
      <c r="J23" s="6" t="n">
        <v>154</v>
      </c>
      <c r="K23" s="6" t="n">
        <v>152</v>
      </c>
      <c r="L23" s="7" t="n">
        <f aca="false">K23-J23</f>
        <v>-2</v>
      </c>
      <c r="M23" s="10" t="n">
        <f aca="false">IF(J23=0,"",K23/J23-1)</f>
        <v>-0.012987012987013</v>
      </c>
      <c r="N23" s="17" t="n">
        <f aca="false">K23/D23*10000</f>
        <v>1.4381546205448</v>
      </c>
      <c r="O23" s="7" t="n">
        <f aca="false">IF(K23=0,"none",D23/K23)</f>
        <v>6953.3552631579</v>
      </c>
      <c r="P23" s="7" t="n">
        <f aca="false">IF(K23=0,"none",E23/K23)</f>
        <v>1123.00657894737</v>
      </c>
      <c r="Q23" s="16" t="n">
        <v>0.108</v>
      </c>
      <c r="R23" s="16" t="n">
        <v>0.327</v>
      </c>
      <c r="S23" s="16" t="n">
        <v>0.06</v>
      </c>
      <c r="T23" s="6" t="n">
        <v>1</v>
      </c>
    </row>
    <row r="24" customFormat="false" ht="15" hidden="false" customHeight="false" outlineLevel="0" collapsed="false">
      <c r="A24" s="15" t="s">
        <v>204</v>
      </c>
      <c r="B24" s="15" t="s">
        <v>205</v>
      </c>
      <c r="C24" s="15" t="s">
        <v>73</v>
      </c>
      <c r="D24" s="6" t="n">
        <v>957189</v>
      </c>
      <c r="E24" s="6" t="n">
        <v>135034</v>
      </c>
      <c r="F24" s="16" t="n">
        <v>0.141</v>
      </c>
      <c r="G24" s="16" t="n">
        <v>0.093</v>
      </c>
      <c r="H24" s="16" t="n">
        <v>0.149</v>
      </c>
      <c r="I24" s="16" t="n">
        <v>0.105</v>
      </c>
      <c r="J24" s="6" t="n">
        <v>142</v>
      </c>
      <c r="K24" s="6" t="n">
        <v>133</v>
      </c>
      <c r="L24" s="7" t="n">
        <f aca="false">K24-J24</f>
        <v>-9</v>
      </c>
      <c r="M24" s="10" t="n">
        <f aca="false">IF(J24=0,"",K24/J24-1)</f>
        <v>-0.0633802816901409</v>
      </c>
      <c r="N24" s="17" t="n">
        <f aca="false">K24/D24*10000</f>
        <v>1.38948525317362</v>
      </c>
      <c r="O24" s="7" t="n">
        <f aca="false">IF(K24=0,"none",D24/K24)</f>
        <v>7196.90977443609</v>
      </c>
      <c r="P24" s="7" t="n">
        <f aca="false">IF(K24=0,"none",E24/K24)</f>
        <v>1015.29323308271</v>
      </c>
      <c r="Q24" s="16" t="n">
        <v>0.152</v>
      </c>
      <c r="R24" s="16" t="n">
        <v>0.4</v>
      </c>
      <c r="S24" s="16" t="n">
        <v>0.103</v>
      </c>
      <c r="T24" s="6" t="n">
        <v>0</v>
      </c>
    </row>
    <row r="25" customFormat="false" ht="15" hidden="false" customHeight="false" outlineLevel="0" collapsed="false">
      <c r="A25" s="15" t="s">
        <v>206</v>
      </c>
      <c r="B25" s="15" t="s">
        <v>207</v>
      </c>
      <c r="C25" s="15" t="s">
        <v>73</v>
      </c>
      <c r="D25" s="6" t="n">
        <v>50316</v>
      </c>
      <c r="E25" s="6" t="n">
        <v>9902</v>
      </c>
      <c r="F25" s="16" t="n">
        <v>0.197</v>
      </c>
      <c r="G25" s="16" t="n">
        <v>0.031</v>
      </c>
      <c r="H25" s="16" t="n">
        <v>0.112</v>
      </c>
      <c r="I25" s="16" t="n">
        <v>0.05</v>
      </c>
      <c r="J25" s="6" t="n">
        <v>11</v>
      </c>
      <c r="K25" s="6" t="n">
        <v>8</v>
      </c>
      <c r="L25" s="7" t="n">
        <f aca="false">K25-J25</f>
        <v>-3</v>
      </c>
      <c r="M25" s="10" t="n">
        <f aca="false">IF(J25=0,"",K25/J25-1)</f>
        <v>-0.272727272727273</v>
      </c>
      <c r="N25" s="17" t="n">
        <f aca="false">K25/D25*10000</f>
        <v>1.58995150647905</v>
      </c>
      <c r="O25" s="7" t="n">
        <f aca="false">IF(K25=0,"none",D25/K25)</f>
        <v>6289.5</v>
      </c>
      <c r="P25" s="7" t="n">
        <f aca="false">IF(K25=0,"none",E25/K25)</f>
        <v>1237.75</v>
      </c>
      <c r="Q25" s="16" t="n">
        <v>0.116</v>
      </c>
      <c r="R25" s="16" t="n">
        <v>0.384</v>
      </c>
      <c r="S25" s="16" t="n">
        <v>0.057</v>
      </c>
      <c r="T25" s="6" t="n">
        <v>0</v>
      </c>
    </row>
    <row r="26" customFormat="false" ht="15" hidden="false" customHeight="false" outlineLevel="0" collapsed="false">
      <c r="A26" s="15" t="s">
        <v>208</v>
      </c>
      <c r="B26" s="15" t="s">
        <v>209</v>
      </c>
      <c r="C26" s="15" t="s">
        <v>73</v>
      </c>
      <c r="D26" s="6" t="n">
        <v>24672</v>
      </c>
      <c r="E26" s="6" t="n">
        <v>4238</v>
      </c>
      <c r="F26" s="16" t="n">
        <v>0.172</v>
      </c>
      <c r="G26" s="16" t="n">
        <v>0.075</v>
      </c>
      <c r="H26" s="16" t="n">
        <v>0.295</v>
      </c>
      <c r="I26" s="16" t="n">
        <v>0.039</v>
      </c>
      <c r="J26" s="6" t="n">
        <v>4</v>
      </c>
      <c r="K26" s="6" t="n">
        <v>3</v>
      </c>
      <c r="L26" s="7" t="n">
        <f aca="false">K26-J26</f>
        <v>-1</v>
      </c>
      <c r="M26" s="10" t="n">
        <f aca="false">IF(J26=0,"",K26/J26-1)</f>
        <v>-0.25</v>
      </c>
      <c r="N26" s="17" t="n">
        <f aca="false">K26/D26*10000</f>
        <v>1.215953307393</v>
      </c>
      <c r="O26" s="7" t="n">
        <f aca="false">IF(K26=0,"none",D26/K26)</f>
        <v>8224</v>
      </c>
      <c r="P26" s="7" t="n">
        <f aca="false">IF(K26=0,"none",E26/K26)</f>
        <v>1412.66666666667</v>
      </c>
      <c r="Q26" s="16" t="n">
        <v>0.142</v>
      </c>
      <c r="R26" s="16" t="n">
        <v>0.427</v>
      </c>
      <c r="S26" s="16" t="n">
        <v>0.121</v>
      </c>
      <c r="T26" s="6" t="n">
        <v>0</v>
      </c>
    </row>
    <row r="27" customFormat="false" ht="15" hidden="false" customHeight="false" outlineLevel="0" collapsed="false">
      <c r="A27" s="15" t="s">
        <v>210</v>
      </c>
      <c r="B27" s="15" t="s">
        <v>211</v>
      </c>
      <c r="C27" s="15" t="s">
        <v>73</v>
      </c>
      <c r="D27" s="6" t="n">
        <v>113814</v>
      </c>
      <c r="E27" s="6" t="n">
        <v>15170</v>
      </c>
      <c r="F27" s="16" t="n">
        <v>0.133</v>
      </c>
      <c r="G27" s="16" t="n">
        <v>0.045</v>
      </c>
      <c r="H27" s="16" t="n">
        <v>0.125</v>
      </c>
      <c r="I27" s="16" t="n">
        <v>0.04</v>
      </c>
      <c r="J27" s="6" t="n">
        <v>23</v>
      </c>
      <c r="K27" s="6" t="n">
        <v>18</v>
      </c>
      <c r="L27" s="7" t="n">
        <f aca="false">K27-J27</f>
        <v>-5</v>
      </c>
      <c r="M27" s="10" t="n">
        <f aca="false">IF(J27=0,"",K27/J27-1)</f>
        <v>-0.217391304347826</v>
      </c>
      <c r="N27" s="17" t="n">
        <f aca="false">K27/D27*10000</f>
        <v>1.58152775581211</v>
      </c>
      <c r="O27" s="7" t="n">
        <f aca="false">IF(K27=0,"none",D27/K27)</f>
        <v>6323</v>
      </c>
      <c r="P27" s="7" t="n">
        <f aca="false">IF(K27=0,"none",E27/K27)</f>
        <v>842.777777777778</v>
      </c>
      <c r="Q27" s="16" t="n">
        <v>0.114</v>
      </c>
      <c r="R27" s="16" t="n">
        <v>0.347</v>
      </c>
      <c r="S27" s="16" t="n">
        <v>0.068</v>
      </c>
      <c r="T27" s="6" t="n">
        <v>2</v>
      </c>
    </row>
    <row r="28" customFormat="false" ht="15" hidden="false" customHeight="false" outlineLevel="0" collapsed="false">
      <c r="A28" s="15" t="s">
        <v>212</v>
      </c>
      <c r="B28" s="15" t="s">
        <v>213</v>
      </c>
      <c r="C28" s="15" t="s">
        <v>73</v>
      </c>
      <c r="D28" s="6" t="n">
        <v>37663</v>
      </c>
      <c r="E28" s="6" t="n">
        <v>11190</v>
      </c>
      <c r="F28" s="16" t="n">
        <v>0.297</v>
      </c>
      <c r="G28" s="16" t="n">
        <v>0.072</v>
      </c>
      <c r="H28" s="16" t="n">
        <v>0.164</v>
      </c>
      <c r="I28" s="16" t="n">
        <v>0.044</v>
      </c>
      <c r="J28" s="6" t="n">
        <v>12</v>
      </c>
      <c r="K28" s="6" t="n">
        <v>8</v>
      </c>
      <c r="L28" s="7" t="n">
        <f aca="false">K28-J28</f>
        <v>-4</v>
      </c>
      <c r="M28" s="10" t="n">
        <f aca="false">IF(J28=0,"",K28/J28-1)</f>
        <v>-0.333333333333333</v>
      </c>
      <c r="N28" s="17" t="n">
        <f aca="false">K28/D28*10000</f>
        <v>2.12410057616228</v>
      </c>
      <c r="O28" s="7" t="n">
        <f aca="false">IF(K28=0,"none",D28/K28)</f>
        <v>4707.875</v>
      </c>
      <c r="P28" s="7" t="n">
        <f aca="false">IF(K28=0,"none",E28/K28)</f>
        <v>1398.75</v>
      </c>
      <c r="Q28" s="16" t="n">
        <v>0.131</v>
      </c>
      <c r="R28" s="16" t="n">
        <v>0.416</v>
      </c>
      <c r="S28" s="16" t="n">
        <v>0.06</v>
      </c>
      <c r="T28" s="6" t="n">
        <v>0</v>
      </c>
    </row>
    <row r="29" customFormat="false" ht="15" hidden="false" customHeight="false" outlineLevel="0" collapsed="false">
      <c r="A29" s="15" t="s">
        <v>214</v>
      </c>
      <c r="B29" s="15" t="s">
        <v>215</v>
      </c>
      <c r="C29" s="15" t="s">
        <v>73</v>
      </c>
      <c r="D29" s="6" t="n">
        <v>154645</v>
      </c>
      <c r="E29" s="6" t="n">
        <v>27391</v>
      </c>
      <c r="F29" s="16" t="n">
        <v>0.177</v>
      </c>
      <c r="G29" s="16" t="n">
        <v>0.079</v>
      </c>
      <c r="H29" s="16" t="n">
        <v>0.201</v>
      </c>
      <c r="I29" s="16" t="n">
        <v>0.055</v>
      </c>
      <c r="J29" s="6" t="n">
        <v>32</v>
      </c>
      <c r="K29" s="6" t="n">
        <v>26</v>
      </c>
      <c r="L29" s="7" t="n">
        <f aca="false">K29-J29</f>
        <v>-6</v>
      </c>
      <c r="M29" s="10" t="n">
        <f aca="false">IF(J29=0,"",K29/J29-1)</f>
        <v>-0.1875</v>
      </c>
      <c r="N29" s="17" t="n">
        <f aca="false">K29/D29*10000</f>
        <v>1.68127000549646</v>
      </c>
      <c r="O29" s="7" t="n">
        <f aca="false">IF(K29=0,"none",D29/K29)</f>
        <v>5947.88461538462</v>
      </c>
      <c r="P29" s="7" t="n">
        <f aca="false">IF(K29=0,"none",E29/K29)</f>
        <v>1053.5</v>
      </c>
      <c r="Q29" s="16" t="n">
        <v>0.133</v>
      </c>
      <c r="R29" s="16" t="n">
        <v>0.389</v>
      </c>
      <c r="S29" s="16" t="n">
        <v>0.084</v>
      </c>
      <c r="T29" s="6" t="n">
        <v>3</v>
      </c>
    </row>
    <row r="30" customFormat="false" ht="15" hidden="false" customHeight="false" outlineLevel="0" collapsed="false">
      <c r="A30" s="15" t="s">
        <v>216</v>
      </c>
      <c r="B30" s="15" t="s">
        <v>217</v>
      </c>
      <c r="C30" s="15" t="s">
        <v>73</v>
      </c>
      <c r="D30" s="6" t="n">
        <v>103815</v>
      </c>
      <c r="E30" s="6" t="n">
        <v>16785</v>
      </c>
      <c r="F30" s="16" t="n">
        <v>0.162</v>
      </c>
      <c r="G30" s="16" t="n">
        <v>0.074</v>
      </c>
      <c r="H30" s="16" t="n">
        <v>0.23</v>
      </c>
      <c r="I30" s="16" t="n">
        <v>0.065</v>
      </c>
      <c r="J30" s="6" t="n">
        <v>29</v>
      </c>
      <c r="K30" s="6" t="n">
        <v>20</v>
      </c>
      <c r="L30" s="7" t="n">
        <f aca="false">K30-J30</f>
        <v>-9</v>
      </c>
      <c r="M30" s="10" t="n">
        <f aca="false">IF(J30=0,"",K30/J30-1)</f>
        <v>-0.310344827586207</v>
      </c>
      <c r="N30" s="17" t="n">
        <f aca="false">K30/D30*10000</f>
        <v>1.92650387708905</v>
      </c>
      <c r="O30" s="7" t="n">
        <f aca="false">IF(K30=0,"none",D30/K30)</f>
        <v>5190.75</v>
      </c>
      <c r="P30" s="7" t="n">
        <f aca="false">IF(K30=0,"none",E30/K30)</f>
        <v>839.25</v>
      </c>
      <c r="Q30" s="16" t="n">
        <v>0.126</v>
      </c>
      <c r="R30" s="16" t="n">
        <v>0.367</v>
      </c>
      <c r="S30" s="16" t="n">
        <v>0.09</v>
      </c>
      <c r="T30" s="6" t="n">
        <v>0</v>
      </c>
    </row>
    <row r="31" customFormat="false" ht="15" hidden="false" customHeight="false" outlineLevel="0" collapsed="false">
      <c r="A31" s="15" t="s">
        <v>218</v>
      </c>
      <c r="B31" s="15" t="s">
        <v>219</v>
      </c>
      <c r="C31" s="15" t="s">
        <v>73</v>
      </c>
      <c r="D31" s="6" t="n">
        <v>52827</v>
      </c>
      <c r="E31" s="6" t="n">
        <v>14800</v>
      </c>
      <c r="F31" s="16" t="n">
        <v>0.28</v>
      </c>
      <c r="G31" s="16" t="n">
        <v>0.056</v>
      </c>
      <c r="H31" s="16" t="n">
        <v>0.15</v>
      </c>
      <c r="I31" s="16" t="n">
        <v>0.058</v>
      </c>
      <c r="J31" s="6" t="n">
        <v>15</v>
      </c>
      <c r="K31" s="6" t="n">
        <v>11</v>
      </c>
      <c r="L31" s="7" t="n">
        <f aca="false">K31-J31</f>
        <v>-4</v>
      </c>
      <c r="M31" s="10" t="n">
        <f aca="false">IF(J31=0,"",K31/J31-1)</f>
        <v>-0.266666666666667</v>
      </c>
      <c r="N31" s="17" t="n">
        <f aca="false">K31/D31*10000</f>
        <v>2.08226853692241</v>
      </c>
      <c r="O31" s="7" t="n">
        <f aca="false">IF(K31=0,"none",D31/K31)</f>
        <v>4802.45454545455</v>
      </c>
      <c r="P31" s="7" t="n">
        <f aca="false">IF(K31=0,"none",E31/K31)</f>
        <v>1345.45454545455</v>
      </c>
      <c r="Q31" s="16" t="n">
        <v>0.137</v>
      </c>
      <c r="R31" s="16" t="n">
        <v>0.421</v>
      </c>
      <c r="S31" s="16" t="n">
        <v>0.061</v>
      </c>
      <c r="T31" s="6" t="n">
        <v>0</v>
      </c>
    </row>
    <row r="32" customFormat="false" ht="15" hidden="false" customHeight="false" outlineLevel="0" collapsed="false">
      <c r="A32" s="15" t="s">
        <v>220</v>
      </c>
      <c r="B32" s="15" t="s">
        <v>221</v>
      </c>
      <c r="C32" s="15" t="s">
        <v>74</v>
      </c>
      <c r="D32" s="6" t="n">
        <v>274339</v>
      </c>
      <c r="E32" s="6" t="n">
        <v>51456</v>
      </c>
      <c r="F32" s="16" t="n">
        <v>0.188</v>
      </c>
      <c r="G32" s="16" t="n">
        <v>0.12</v>
      </c>
      <c r="H32" s="16" t="n">
        <v>0.211</v>
      </c>
      <c r="I32" s="16" t="n">
        <v>0.077</v>
      </c>
      <c r="J32" s="6" t="n">
        <v>63</v>
      </c>
      <c r="K32" s="6" t="n">
        <v>55</v>
      </c>
      <c r="L32" s="7" t="n">
        <f aca="false">K32-J32</f>
        <v>-8</v>
      </c>
      <c r="M32" s="10" t="n">
        <f aca="false">IF(J32=0,"",K32/J32-1)</f>
        <v>-0.126984126984127</v>
      </c>
      <c r="N32" s="17" t="n">
        <f aca="false">K32/D32*10000</f>
        <v>2.00481885550359</v>
      </c>
      <c r="O32" s="7" t="n">
        <f aca="false">IF(K32=0,"none",D32/K32)</f>
        <v>4987.98181818182</v>
      </c>
      <c r="P32" s="7" t="n">
        <f aca="false">IF(K32=0,"none",E32/K32)</f>
        <v>935.563636363636</v>
      </c>
      <c r="Q32" s="16" t="n">
        <v>0.127</v>
      </c>
      <c r="R32" s="16" t="n">
        <v>0.361</v>
      </c>
      <c r="S32" s="16" t="n">
        <v>0.085</v>
      </c>
      <c r="T32" s="6" t="n">
        <v>0</v>
      </c>
    </row>
    <row r="33" customFormat="false" ht="15" hidden="false" customHeight="false" outlineLevel="0" collapsed="false">
      <c r="A33" s="15" t="s">
        <v>222</v>
      </c>
      <c r="B33" s="15" t="s">
        <v>223</v>
      </c>
      <c r="C33" s="15" t="s">
        <v>74</v>
      </c>
      <c r="D33" s="6" t="n">
        <v>953243</v>
      </c>
      <c r="E33" s="6" t="n">
        <v>167276</v>
      </c>
      <c r="F33" s="16" t="n">
        <v>0.175</v>
      </c>
      <c r="G33" s="16" t="n">
        <v>0.08</v>
      </c>
      <c r="H33" s="16" t="n">
        <v>0.105</v>
      </c>
      <c r="I33" s="16" t="n">
        <v>0.066</v>
      </c>
      <c r="J33" s="6" t="n">
        <v>251</v>
      </c>
      <c r="K33" s="6" t="n">
        <v>239</v>
      </c>
      <c r="L33" s="7" t="n">
        <f aca="false">K33-J33</f>
        <v>-12</v>
      </c>
      <c r="M33" s="10" t="n">
        <f aca="false">IF(J33=0,"",K33/J33-1)</f>
        <v>-0.047808764940239</v>
      </c>
      <c r="N33" s="17" t="n">
        <f aca="false">K33/D33*10000</f>
        <v>2.5072305802403</v>
      </c>
      <c r="O33" s="7" t="n">
        <f aca="false">IF(K33=0,"none",D33/K33)</f>
        <v>3988.46443514644</v>
      </c>
      <c r="P33" s="7" t="n">
        <f aca="false">IF(K33=0,"none",E33/K33)</f>
        <v>699.899581589958</v>
      </c>
      <c r="Q33" s="16" t="n">
        <v>0.097</v>
      </c>
      <c r="R33" s="16" t="n">
        <v>0.325</v>
      </c>
      <c r="S33" s="16" t="n">
        <v>0.057</v>
      </c>
      <c r="T33" s="6" t="n">
        <v>0</v>
      </c>
    </row>
    <row r="34" customFormat="false" ht="15" hidden="false" customHeight="false" outlineLevel="0" collapsed="false">
      <c r="A34" s="15" t="s">
        <v>224</v>
      </c>
      <c r="B34" s="15" t="s">
        <v>225</v>
      </c>
      <c r="C34" s="15" t="s">
        <v>74</v>
      </c>
      <c r="D34" s="6" t="n">
        <v>461853</v>
      </c>
      <c r="E34" s="6" t="n">
        <v>81197</v>
      </c>
      <c r="F34" s="16" t="n">
        <v>0.176</v>
      </c>
      <c r="G34" s="16" t="n">
        <v>0.048</v>
      </c>
      <c r="H34" s="16" t="n">
        <v>0.111</v>
      </c>
      <c r="I34" s="16" t="n">
        <v>0.041</v>
      </c>
      <c r="J34" s="6" t="n">
        <v>106</v>
      </c>
      <c r="K34" s="6" t="n">
        <v>91</v>
      </c>
      <c r="L34" s="7" t="n">
        <f aca="false">K34-J34</f>
        <v>-15</v>
      </c>
      <c r="M34" s="10" t="n">
        <f aca="false">IF(J34=0,"",K34/J34-1)</f>
        <v>-0.141509433962264</v>
      </c>
      <c r="N34" s="17" t="n">
        <f aca="false">K34/D34*10000</f>
        <v>1.97032389093499</v>
      </c>
      <c r="O34" s="7" t="n">
        <f aca="false">IF(K34=0,"none",D34/K34)</f>
        <v>5075.30769230769</v>
      </c>
      <c r="P34" s="7" t="n">
        <f aca="false">IF(K34=0,"none",E34/K34)</f>
        <v>892.274725274725</v>
      </c>
      <c r="Q34" s="16" t="n">
        <v>0.105</v>
      </c>
      <c r="R34" s="16" t="n">
        <v>0.34</v>
      </c>
      <c r="S34" s="16" t="n">
        <v>0.068</v>
      </c>
      <c r="T34" s="6" t="n">
        <v>0</v>
      </c>
    </row>
    <row r="35" customFormat="false" ht="15" hidden="false" customHeight="false" outlineLevel="0" collapsed="false">
      <c r="A35" s="15" t="s">
        <v>226</v>
      </c>
      <c r="B35" s="15" t="s">
        <v>227</v>
      </c>
      <c r="C35" s="15" t="s">
        <v>74</v>
      </c>
      <c r="D35" s="6" t="n">
        <v>522581</v>
      </c>
      <c r="E35" s="6" t="n">
        <v>83495</v>
      </c>
      <c r="F35" s="16" t="n">
        <v>0.16</v>
      </c>
      <c r="G35" s="16" t="n">
        <v>0.105</v>
      </c>
      <c r="H35" s="16" t="n">
        <v>0.191</v>
      </c>
      <c r="I35" s="16" t="n">
        <v>0.067</v>
      </c>
      <c r="J35" s="6" t="n">
        <v>125</v>
      </c>
      <c r="K35" s="6" t="n">
        <v>101</v>
      </c>
      <c r="L35" s="7" t="n">
        <f aca="false">K35-J35</f>
        <v>-24</v>
      </c>
      <c r="M35" s="10" t="n">
        <f aca="false">IF(J35=0,"",K35/J35-1)</f>
        <v>-0.192</v>
      </c>
      <c r="N35" s="17" t="n">
        <f aca="false">K35/D35*10000</f>
        <v>1.93271473704555</v>
      </c>
      <c r="O35" s="7" t="n">
        <f aca="false">IF(K35=0,"none",D35/K35)</f>
        <v>5174.06930693069</v>
      </c>
      <c r="P35" s="7" t="n">
        <f aca="false">IF(K35=0,"none",E35/K35)</f>
        <v>826.683168316832</v>
      </c>
      <c r="Q35" s="16" t="n">
        <v>0.114</v>
      </c>
      <c r="R35" s="16" t="n">
        <v>0.334</v>
      </c>
      <c r="S35" s="16" t="n">
        <v>0.084</v>
      </c>
      <c r="T35" s="6" t="n">
        <v>0</v>
      </c>
    </row>
    <row r="36" customFormat="false" ht="15" hidden="false" customHeight="false" outlineLevel="0" collapsed="false">
      <c r="A36" s="15" t="s">
        <v>228</v>
      </c>
      <c r="B36" s="15" t="s">
        <v>229</v>
      </c>
      <c r="C36" s="15" t="s">
        <v>74</v>
      </c>
      <c r="D36" s="6" t="n">
        <v>95456</v>
      </c>
      <c r="E36" s="6" t="n">
        <v>26529</v>
      </c>
      <c r="F36" s="16" t="n">
        <v>0.278</v>
      </c>
      <c r="G36" s="16" t="n">
        <v>0.062</v>
      </c>
      <c r="H36" s="16" t="n">
        <v>0.153</v>
      </c>
      <c r="I36" s="16" t="n">
        <v>0.056</v>
      </c>
      <c r="J36" s="6" t="n">
        <v>33</v>
      </c>
      <c r="K36" s="6" t="n">
        <v>29</v>
      </c>
      <c r="L36" s="7" t="n">
        <f aca="false">K36-J36</f>
        <v>-4</v>
      </c>
      <c r="M36" s="10" t="n">
        <f aca="false">IF(J36=0,"",K36/J36-1)</f>
        <v>-0.121212121212121</v>
      </c>
      <c r="N36" s="17" t="n">
        <f aca="false">K36/D36*10000</f>
        <v>3.03804894401609</v>
      </c>
      <c r="O36" s="7" t="n">
        <f aca="false">IF(K36=0,"none",D36/K36)</f>
        <v>3291.58620689655</v>
      </c>
      <c r="P36" s="7" t="n">
        <f aca="false">IF(K36=0,"none",E36/K36)</f>
        <v>914.793103448276</v>
      </c>
      <c r="Q36" s="16" t="n">
        <v>0.117</v>
      </c>
      <c r="R36" s="16" t="n">
        <v>0.389</v>
      </c>
      <c r="S36" s="16" t="n">
        <v>0.057</v>
      </c>
      <c r="T36" s="6" t="n">
        <v>0</v>
      </c>
    </row>
    <row r="37" customFormat="false" ht="15" hidden="false" customHeight="false" outlineLevel="0" collapsed="false">
      <c r="A37" s="15" t="s">
        <v>230</v>
      </c>
      <c r="B37" s="15" t="s">
        <v>231</v>
      </c>
      <c r="C37" s="15" t="s">
        <v>74</v>
      </c>
      <c r="D37" s="6" t="n">
        <v>153588</v>
      </c>
      <c r="E37" s="6" t="n">
        <v>23937</v>
      </c>
      <c r="F37" s="16" t="n">
        <v>0.156</v>
      </c>
      <c r="G37" s="16" t="n">
        <v>0.097</v>
      </c>
      <c r="H37" s="16" t="n">
        <v>0.268</v>
      </c>
      <c r="I37" s="16" t="n">
        <v>0.096</v>
      </c>
      <c r="J37" s="6" t="n">
        <v>29</v>
      </c>
      <c r="K37" s="6" t="n">
        <v>22</v>
      </c>
      <c r="L37" s="7" t="n">
        <f aca="false">K37-J37</f>
        <v>-7</v>
      </c>
      <c r="M37" s="10" t="n">
        <f aca="false">IF(J37=0,"",K37/J37-1)</f>
        <v>-0.241379310344828</v>
      </c>
      <c r="N37" s="17" t="n">
        <f aca="false">K37/D37*10000</f>
        <v>1.43240357319582</v>
      </c>
      <c r="O37" s="7" t="n">
        <f aca="false">IF(K37=0,"none",D37/K37)</f>
        <v>6981.27272727273</v>
      </c>
      <c r="P37" s="7" t="n">
        <f aca="false">IF(K37=0,"none",E37/K37)</f>
        <v>1088.04545454545</v>
      </c>
      <c r="Q37" s="16" t="n">
        <v>0.135</v>
      </c>
      <c r="R37" s="16" t="n">
        <v>0.388</v>
      </c>
      <c r="S37" s="16" t="n">
        <v>0.118</v>
      </c>
      <c r="T37" s="6" t="n">
        <v>0</v>
      </c>
    </row>
    <row r="38" customFormat="false" ht="15" hidden="false" customHeight="false" outlineLevel="0" collapsed="false">
      <c r="A38" s="15" t="s">
        <v>232</v>
      </c>
      <c r="B38" s="15" t="s">
        <v>233</v>
      </c>
      <c r="C38" s="15" t="s">
        <v>74</v>
      </c>
      <c r="D38" s="6" t="n">
        <v>853374</v>
      </c>
      <c r="E38" s="6" t="n">
        <v>117405</v>
      </c>
      <c r="F38" s="16" t="n">
        <v>0.138</v>
      </c>
      <c r="G38" s="16" t="n">
        <v>0.214</v>
      </c>
      <c r="H38" s="16" t="n">
        <v>0.229</v>
      </c>
      <c r="I38" s="16" t="n">
        <v>0.115</v>
      </c>
      <c r="J38" s="6" t="n">
        <v>218</v>
      </c>
      <c r="K38" s="6" t="n">
        <v>211</v>
      </c>
      <c r="L38" s="7" t="n">
        <f aca="false">K38-J38</f>
        <v>-7</v>
      </c>
      <c r="M38" s="10" t="n">
        <f aca="false">IF(J38=0,"",K38/J38-1)</f>
        <v>-0.0321100917431193</v>
      </c>
      <c r="N38" s="17" t="n">
        <f aca="false">K38/D38*10000</f>
        <v>2.47253841809101</v>
      </c>
      <c r="O38" s="7" t="n">
        <f aca="false">IF(K38=0,"none",D38/K38)</f>
        <v>4044.42654028436</v>
      </c>
      <c r="P38" s="7" t="n">
        <f aca="false">IF(K38=0,"none",E38/K38)</f>
        <v>556.421800947867</v>
      </c>
      <c r="Q38" s="16" t="n">
        <v>0.12</v>
      </c>
      <c r="R38" s="16" t="n">
        <v>0.317</v>
      </c>
      <c r="S38" s="16" t="n">
        <v>0.106</v>
      </c>
      <c r="T38" s="6" t="n">
        <v>0</v>
      </c>
    </row>
    <row r="39" customFormat="false" ht="15" hidden="false" customHeight="false" outlineLevel="0" collapsed="false">
      <c r="A39" s="15" t="s">
        <v>234</v>
      </c>
      <c r="B39" s="15" t="s">
        <v>235</v>
      </c>
      <c r="C39" s="15" t="s">
        <v>74</v>
      </c>
      <c r="D39" s="6" t="n">
        <v>302621</v>
      </c>
      <c r="E39" s="6" t="n">
        <v>48955</v>
      </c>
      <c r="F39" s="16" t="n">
        <v>0.162</v>
      </c>
      <c r="G39" s="16" t="n">
        <v>0.05</v>
      </c>
      <c r="H39" s="16" t="n">
        <v>0.118</v>
      </c>
      <c r="I39" s="16" t="n">
        <v>0.043</v>
      </c>
      <c r="J39" s="6" t="n">
        <v>62</v>
      </c>
      <c r="K39" s="6" t="n">
        <v>47</v>
      </c>
      <c r="L39" s="7" t="n">
        <f aca="false">K39-J39</f>
        <v>-15</v>
      </c>
      <c r="M39" s="10" t="n">
        <f aca="false">IF(J39=0,"",K39/J39-1)</f>
        <v>-0.241935483870968</v>
      </c>
      <c r="N39" s="17" t="n">
        <f aca="false">K39/D39*10000</f>
        <v>1.5530977691568</v>
      </c>
      <c r="O39" s="7" t="n">
        <f aca="false">IF(K39=0,"none",D39/K39)</f>
        <v>6438.74468085106</v>
      </c>
      <c r="P39" s="7" t="n">
        <f aca="false">IF(K39=0,"none",E39/K39)</f>
        <v>1041.59574468085</v>
      </c>
      <c r="Q39" s="16" t="n">
        <v>0.103</v>
      </c>
      <c r="R39" s="16" t="n">
        <v>0.366</v>
      </c>
      <c r="S39" s="16" t="n">
        <v>0.065</v>
      </c>
      <c r="T39" s="6" t="n">
        <v>0</v>
      </c>
    </row>
    <row r="40" customFormat="false" ht="15" hidden="false" customHeight="false" outlineLevel="0" collapsed="false">
      <c r="A40" s="15" t="s">
        <v>236</v>
      </c>
      <c r="B40" s="15" t="s">
        <v>237</v>
      </c>
      <c r="C40" s="15" t="s">
        <v>74</v>
      </c>
      <c r="D40" s="6" t="n">
        <v>712029</v>
      </c>
      <c r="E40" s="6" t="n">
        <v>86664</v>
      </c>
      <c r="F40" s="16" t="n">
        <v>0.122</v>
      </c>
      <c r="G40" s="16" t="n">
        <v>0.325</v>
      </c>
      <c r="H40" s="16" t="n">
        <v>0.224</v>
      </c>
      <c r="I40" s="16" t="n">
        <v>0.116</v>
      </c>
      <c r="J40" s="6" t="n">
        <v>219</v>
      </c>
      <c r="K40" s="6" t="n">
        <v>221</v>
      </c>
      <c r="L40" s="7" t="n">
        <f aca="false">K40-J40</f>
        <v>2</v>
      </c>
      <c r="M40" s="10" t="n">
        <f aca="false">IF(J40=0,"",K40/J40-1)</f>
        <v>0.00913242009132431</v>
      </c>
      <c r="N40" s="17" t="n">
        <f aca="false">K40/D40*10000</f>
        <v>3.10380616519833</v>
      </c>
      <c r="O40" s="7" t="n">
        <f aca="false">IF(K40=0,"none",D40/K40)</f>
        <v>3221.85067873303</v>
      </c>
      <c r="P40" s="7" t="n">
        <f aca="false">IF(K40=0,"none",E40/K40)</f>
        <v>392.144796380091</v>
      </c>
      <c r="Q40" s="16" t="n">
        <v>0.105</v>
      </c>
      <c r="R40" s="16" t="n">
        <v>0.286</v>
      </c>
      <c r="S40" s="16" t="n">
        <v>0.089</v>
      </c>
      <c r="T40" s="6" t="n">
        <v>0</v>
      </c>
    </row>
    <row r="41" customFormat="false" ht="15" hidden="false" customHeight="false" outlineLevel="0" collapsed="false">
      <c r="A41" s="15" t="s">
        <v>238</v>
      </c>
      <c r="B41" s="15" t="s">
        <v>239</v>
      </c>
      <c r="C41" s="15" t="s">
        <v>74</v>
      </c>
      <c r="D41" s="6" t="n">
        <v>129099</v>
      </c>
      <c r="E41" s="6" t="n">
        <v>25330</v>
      </c>
      <c r="F41" s="16" t="n">
        <v>0.196</v>
      </c>
      <c r="G41" s="16" t="n">
        <v>0.027</v>
      </c>
      <c r="H41" s="16" t="n">
        <v>0.068</v>
      </c>
      <c r="I41" s="16" t="n">
        <v>0.028</v>
      </c>
      <c r="J41" s="6" t="n">
        <v>25</v>
      </c>
      <c r="K41" s="6" t="n">
        <v>25</v>
      </c>
      <c r="L41" s="7" t="n">
        <f aca="false">K41-J41</f>
        <v>0</v>
      </c>
      <c r="M41" s="10" t="n">
        <f aca="false">IF(J41=0,"",K41/J41-1)</f>
        <v>0</v>
      </c>
      <c r="N41" s="17" t="n">
        <f aca="false">K41/D41*10000</f>
        <v>1.93649834623041</v>
      </c>
      <c r="O41" s="7" t="n">
        <f aca="false">IF(K41=0,"none",D41/K41)</f>
        <v>5163.96</v>
      </c>
      <c r="P41" s="7" t="n">
        <f aca="false">IF(K41=0,"none",E41/K41)</f>
        <v>1013.2</v>
      </c>
      <c r="Q41" s="16" t="n">
        <v>0.092</v>
      </c>
      <c r="R41" s="16" t="n">
        <v>0.317</v>
      </c>
      <c r="S41" s="16" t="n">
        <v>0.046</v>
      </c>
      <c r="T41" s="6" t="n">
        <v>0</v>
      </c>
    </row>
    <row r="42" customFormat="false" ht="15" hidden="false" customHeight="false" outlineLevel="0" collapsed="false">
      <c r="A42" s="15" t="s">
        <v>240</v>
      </c>
      <c r="B42" s="15" t="s">
        <v>241</v>
      </c>
      <c r="C42" s="15" t="s">
        <v>74</v>
      </c>
      <c r="D42" s="6" t="n">
        <v>383732</v>
      </c>
      <c r="E42" s="6" t="n">
        <v>60075</v>
      </c>
      <c r="F42" s="16" t="n">
        <v>0.157</v>
      </c>
      <c r="G42" s="16" t="n">
        <v>0.116</v>
      </c>
      <c r="H42" s="16" t="n">
        <v>0.168</v>
      </c>
      <c r="I42" s="16" t="n">
        <v>0.07</v>
      </c>
      <c r="J42" s="6" t="n">
        <v>99</v>
      </c>
      <c r="K42" s="6" t="n">
        <v>90</v>
      </c>
      <c r="L42" s="7" t="n">
        <f aca="false">K42-J42</f>
        <v>-9</v>
      </c>
      <c r="M42" s="10" t="n">
        <f aca="false">IF(J42=0,"",K42/J42-1)</f>
        <v>-0.0909090909090909</v>
      </c>
      <c r="N42" s="17" t="n">
        <f aca="false">K42/D42*10000</f>
        <v>2.34538688459654</v>
      </c>
      <c r="O42" s="7" t="n">
        <f aca="false">IF(K42=0,"none",D42/K42)</f>
        <v>4263.68888888889</v>
      </c>
      <c r="P42" s="7" t="n">
        <f aca="false">IF(K42=0,"none",E42/K42)</f>
        <v>667.5</v>
      </c>
      <c r="Q42" s="16" t="n">
        <v>0.111</v>
      </c>
      <c r="R42" s="16" t="n">
        <v>0.312</v>
      </c>
      <c r="S42" s="16" t="n">
        <v>0.078</v>
      </c>
      <c r="T42" s="6" t="n">
        <v>0</v>
      </c>
    </row>
    <row r="43" customFormat="false" ht="15" hidden="false" customHeight="false" outlineLevel="0" collapsed="false">
      <c r="A43" s="15" t="s">
        <v>242</v>
      </c>
      <c r="B43" s="15" t="s">
        <v>243</v>
      </c>
      <c r="C43" s="15" t="s">
        <v>74</v>
      </c>
      <c r="D43" s="6" t="n">
        <v>860147</v>
      </c>
      <c r="E43" s="6" t="n">
        <v>132766</v>
      </c>
      <c r="F43" s="16" t="n">
        <v>0.154</v>
      </c>
      <c r="G43" s="16" t="n">
        <v>0.081</v>
      </c>
      <c r="H43" s="16" t="n">
        <v>0.133</v>
      </c>
      <c r="I43" s="16" t="n">
        <v>0.067</v>
      </c>
      <c r="J43" s="6" t="n">
        <v>199</v>
      </c>
      <c r="K43" s="6" t="n">
        <v>204</v>
      </c>
      <c r="L43" s="7" t="n">
        <f aca="false">K43-J43</f>
        <v>5</v>
      </c>
      <c r="M43" s="10" t="n">
        <f aca="false">IF(J43=0,"",K43/J43-1)</f>
        <v>0.0251256281407035</v>
      </c>
      <c r="N43" s="17" t="n">
        <f aca="false">K43/D43*10000</f>
        <v>2.37168763013764</v>
      </c>
      <c r="O43" s="7" t="n">
        <f aca="false">IF(K43=0,"none",D43/K43)</f>
        <v>4216.4068627451</v>
      </c>
      <c r="P43" s="7" t="n">
        <f aca="false">IF(K43=0,"none",E43/K43)</f>
        <v>650.813725490196</v>
      </c>
      <c r="Q43" s="16" t="n">
        <v>0.116</v>
      </c>
      <c r="R43" s="16" t="n">
        <v>0.332</v>
      </c>
      <c r="S43" s="16" t="n">
        <v>0.07</v>
      </c>
      <c r="T43" s="6" t="n">
        <v>0</v>
      </c>
    </row>
    <row r="44" customFormat="false" ht="15" hidden="false" customHeight="false" outlineLevel="0" collapsed="false">
      <c r="A44" s="15" t="s">
        <v>244</v>
      </c>
      <c r="B44" s="15" t="s">
        <v>245</v>
      </c>
      <c r="C44" s="15" t="s">
        <v>74</v>
      </c>
      <c r="D44" s="6" t="n">
        <v>643064</v>
      </c>
      <c r="E44" s="6" t="n">
        <v>117516</v>
      </c>
      <c r="F44" s="16" t="n">
        <v>0.183</v>
      </c>
      <c r="G44" s="16" t="n">
        <v>0.069</v>
      </c>
      <c r="H44" s="16" t="n">
        <v>0.105</v>
      </c>
      <c r="I44" s="16" t="n">
        <v>0.05</v>
      </c>
      <c r="J44" s="6" t="n">
        <v>178</v>
      </c>
      <c r="K44" s="6" t="n">
        <v>159</v>
      </c>
      <c r="L44" s="7" t="n">
        <f aca="false">K44-J44</f>
        <v>-19</v>
      </c>
      <c r="M44" s="10" t="n">
        <f aca="false">IF(J44=0,"",K44/J44-1)</f>
        <v>-0.106741573033708</v>
      </c>
      <c r="N44" s="17" t="n">
        <f aca="false">K44/D44*10000</f>
        <v>2.47253772563851</v>
      </c>
      <c r="O44" s="7" t="n">
        <f aca="false">IF(K44=0,"none",D44/K44)</f>
        <v>4044.42767295597</v>
      </c>
      <c r="P44" s="7" t="n">
        <f aca="false">IF(K44=0,"none",E44/K44)</f>
        <v>739.094339622642</v>
      </c>
      <c r="Q44" s="16" t="n">
        <v>0.098</v>
      </c>
      <c r="R44" s="16" t="n">
        <v>0.329</v>
      </c>
      <c r="S44" s="16" t="n">
        <v>0.053</v>
      </c>
      <c r="T44" s="6" t="n">
        <v>0</v>
      </c>
    </row>
    <row r="45" customFormat="false" ht="15" hidden="false" customHeight="false" outlineLevel="0" collapsed="false">
      <c r="A45" s="15" t="s">
        <v>246</v>
      </c>
      <c r="B45" s="15" t="s">
        <v>247</v>
      </c>
      <c r="C45" s="15" t="s">
        <v>74</v>
      </c>
      <c r="D45" s="6" t="n">
        <v>508816</v>
      </c>
      <c r="E45" s="6" t="n">
        <v>89364</v>
      </c>
      <c r="F45" s="16" t="n">
        <v>0.176</v>
      </c>
      <c r="G45" s="16" t="n">
        <v>0.051</v>
      </c>
      <c r="H45" s="16" t="n">
        <v>0.081</v>
      </c>
      <c r="I45" s="16" t="n">
        <v>0.046</v>
      </c>
      <c r="J45" s="6" t="n">
        <v>127</v>
      </c>
      <c r="K45" s="6" t="n">
        <v>129</v>
      </c>
      <c r="L45" s="7" t="n">
        <f aca="false">K45-J45</f>
        <v>2</v>
      </c>
      <c r="M45" s="10" t="n">
        <f aca="false">IF(J45=0,"",K45/J45-1)</f>
        <v>0.015748031496063</v>
      </c>
      <c r="N45" s="17" t="n">
        <f aca="false">K45/D45*10000</f>
        <v>2.53529763214993</v>
      </c>
      <c r="O45" s="7" t="n">
        <f aca="false">IF(K45=0,"none",D45/K45)</f>
        <v>3944.31007751938</v>
      </c>
      <c r="P45" s="7" t="n">
        <f aca="false">IF(K45=0,"none",E45/K45)</f>
        <v>692.744186046512</v>
      </c>
      <c r="Q45" s="16" t="n">
        <v>0.09</v>
      </c>
      <c r="R45" s="16" t="n">
        <v>0.31</v>
      </c>
      <c r="S45" s="16" t="n">
        <v>0.051</v>
      </c>
      <c r="T45" s="6" t="n">
        <v>0</v>
      </c>
    </row>
    <row r="46" customFormat="false" ht="15" hidden="false" customHeight="false" outlineLevel="0" collapsed="false">
      <c r="A46" s="15" t="s">
        <v>248</v>
      </c>
      <c r="B46" s="15" t="s">
        <v>249</v>
      </c>
      <c r="C46" s="15" t="s">
        <v>74</v>
      </c>
      <c r="D46" s="6" t="n">
        <v>638691</v>
      </c>
      <c r="E46" s="6" t="n">
        <v>143400</v>
      </c>
      <c r="F46" s="16" t="n">
        <v>0.225</v>
      </c>
      <c r="G46" s="16" t="n">
        <v>0.059</v>
      </c>
      <c r="H46" s="16" t="n">
        <v>0.172</v>
      </c>
      <c r="I46" s="16" t="n">
        <v>0.045</v>
      </c>
      <c r="J46" s="6" t="n">
        <v>126</v>
      </c>
      <c r="K46" s="6" t="n">
        <v>105</v>
      </c>
      <c r="L46" s="7" t="n">
        <f aca="false">K46-J46</f>
        <v>-21</v>
      </c>
      <c r="M46" s="10" t="n">
        <f aca="false">IF(J46=0,"",K46/J46-1)</f>
        <v>-0.166666666666667</v>
      </c>
      <c r="N46" s="17" t="n">
        <f aca="false">K46/D46*10000</f>
        <v>1.64398746811839</v>
      </c>
      <c r="O46" s="7" t="n">
        <f aca="false">IF(K46=0,"none",D46/K46)</f>
        <v>6082.77142857143</v>
      </c>
      <c r="P46" s="7" t="n">
        <f aca="false">IF(K46=0,"none",E46/K46)</f>
        <v>1365.71428571429</v>
      </c>
      <c r="Q46" s="16" t="n">
        <v>0.114</v>
      </c>
      <c r="R46" s="16" t="n">
        <v>0.35</v>
      </c>
      <c r="S46" s="16" t="n">
        <v>0.066</v>
      </c>
      <c r="T46" s="6" t="n">
        <v>0</v>
      </c>
    </row>
    <row r="47" customFormat="false" ht="15" hidden="false" customHeight="false" outlineLevel="0" collapsed="false">
      <c r="A47" s="15" t="s">
        <v>250</v>
      </c>
      <c r="B47" s="15" t="s">
        <v>251</v>
      </c>
      <c r="C47" s="15" t="s">
        <v>74</v>
      </c>
      <c r="D47" s="6" t="n">
        <v>519986</v>
      </c>
      <c r="E47" s="6" t="n">
        <v>78440</v>
      </c>
      <c r="F47" s="16" t="n">
        <v>0.151</v>
      </c>
      <c r="G47" s="16" t="n">
        <v>0.147</v>
      </c>
      <c r="H47" s="16" t="n">
        <v>0.224</v>
      </c>
      <c r="I47" s="16" t="n">
        <v>0.125</v>
      </c>
      <c r="J47" s="6" t="n">
        <v>149</v>
      </c>
      <c r="K47" s="6" t="n">
        <v>143</v>
      </c>
      <c r="L47" s="7" t="n">
        <f aca="false">K47-J47</f>
        <v>-6</v>
      </c>
      <c r="M47" s="10" t="n">
        <f aca="false">IF(J47=0,"",K47/J47-1)</f>
        <v>-0.040268456375839</v>
      </c>
      <c r="N47" s="17" t="n">
        <f aca="false">K47/D47*10000</f>
        <v>2.75007404045494</v>
      </c>
      <c r="O47" s="7" t="n">
        <f aca="false">IF(K47=0,"none",D47/K47)</f>
        <v>3636.26573426573</v>
      </c>
      <c r="P47" s="7" t="n">
        <f aca="false">IF(K47=0,"none",E47/K47)</f>
        <v>548.531468531469</v>
      </c>
      <c r="Q47" s="16" t="n">
        <v>0.127</v>
      </c>
      <c r="R47" s="16" t="n">
        <v>0.324</v>
      </c>
      <c r="S47" s="16" t="n">
        <v>0.099</v>
      </c>
      <c r="T47" s="6" t="n">
        <v>0</v>
      </c>
    </row>
    <row r="48" customFormat="false" ht="15" hidden="false" customHeight="false" outlineLevel="0" collapsed="false">
      <c r="A48" s="15" t="s">
        <v>252</v>
      </c>
      <c r="B48" s="15" t="s">
        <v>253</v>
      </c>
      <c r="C48" s="15" t="s">
        <v>74</v>
      </c>
      <c r="D48" s="6" t="n">
        <v>64840</v>
      </c>
      <c r="E48" s="6" t="n">
        <v>12196</v>
      </c>
      <c r="F48" s="16" t="n">
        <v>0.188</v>
      </c>
      <c r="G48" s="16" t="n">
        <v>0.095</v>
      </c>
      <c r="H48" s="16" t="n">
        <v>0.207</v>
      </c>
      <c r="I48" s="16" t="n">
        <v>0.048</v>
      </c>
      <c r="J48" s="6" t="n">
        <v>12</v>
      </c>
      <c r="K48" s="6" t="n">
        <v>8</v>
      </c>
      <c r="L48" s="7" t="n">
        <f aca="false">K48-J48</f>
        <v>-4</v>
      </c>
      <c r="M48" s="10" t="n">
        <f aca="false">IF(J48=0,"",K48/J48-1)</f>
        <v>-0.333333333333333</v>
      </c>
      <c r="N48" s="17" t="n">
        <f aca="false">K48/D48*10000</f>
        <v>1.23380629241209</v>
      </c>
      <c r="O48" s="7" t="n">
        <f aca="false">IF(K48=0,"none",D48/K48)</f>
        <v>8105</v>
      </c>
      <c r="P48" s="7" t="n">
        <f aca="false">IF(K48=0,"none",E48/K48)</f>
        <v>1524.5</v>
      </c>
      <c r="Q48" s="16" t="n">
        <v>0.119</v>
      </c>
      <c r="R48" s="16" t="n">
        <v>0.374</v>
      </c>
      <c r="S48" s="16" t="n">
        <v>0.083</v>
      </c>
      <c r="T48" s="6" t="n">
        <v>0</v>
      </c>
    </row>
    <row r="49" customFormat="false" ht="15" hidden="false" customHeight="false" outlineLevel="0" collapsed="false">
      <c r="A49" s="15" t="s">
        <v>254</v>
      </c>
      <c r="B49" s="15" t="s">
        <v>209</v>
      </c>
      <c r="C49" s="15" t="s">
        <v>74</v>
      </c>
      <c r="D49" s="6" t="n">
        <v>344978</v>
      </c>
      <c r="E49" s="6" t="n">
        <v>56155</v>
      </c>
      <c r="F49" s="16" t="n">
        <v>0.163</v>
      </c>
      <c r="G49" s="16" t="n">
        <v>0.045</v>
      </c>
      <c r="H49" s="16" t="n">
        <v>0.086</v>
      </c>
      <c r="I49" s="16" t="n">
        <v>0.056</v>
      </c>
      <c r="J49" s="6" t="n">
        <v>83</v>
      </c>
      <c r="K49" s="6" t="n">
        <v>75</v>
      </c>
      <c r="L49" s="7" t="n">
        <f aca="false">K49-J49</f>
        <v>-8</v>
      </c>
      <c r="M49" s="10" t="n">
        <f aca="false">IF(J49=0,"",K49/J49-1)</f>
        <v>-0.0963855421686747</v>
      </c>
      <c r="N49" s="17" t="n">
        <f aca="false">K49/D49*10000</f>
        <v>2.17405167865777</v>
      </c>
      <c r="O49" s="7" t="n">
        <f aca="false">IF(K49=0,"none",D49/K49)</f>
        <v>4599.70666666667</v>
      </c>
      <c r="P49" s="7" t="n">
        <f aca="false">IF(K49=0,"none",E49/K49)</f>
        <v>748.733333333333</v>
      </c>
      <c r="Q49" s="16" t="n">
        <v>0.101</v>
      </c>
      <c r="R49" s="16" t="n">
        <v>0.306</v>
      </c>
      <c r="S49" s="16" t="n">
        <v>0.055</v>
      </c>
      <c r="T49" s="6" t="n">
        <v>0</v>
      </c>
    </row>
    <row r="50" customFormat="false" ht="15" hidden="false" customHeight="false" outlineLevel="0" collapsed="false">
      <c r="A50" s="15" t="s">
        <v>255</v>
      </c>
      <c r="B50" s="15" t="s">
        <v>173</v>
      </c>
      <c r="C50" s="15" t="s">
        <v>74</v>
      </c>
      <c r="D50" s="6" t="n">
        <v>144808</v>
      </c>
      <c r="E50" s="6" t="n">
        <v>26256</v>
      </c>
      <c r="F50" s="16" t="n">
        <v>0.181</v>
      </c>
      <c r="G50" s="16" t="n">
        <v>0.032</v>
      </c>
      <c r="H50" s="16" t="n">
        <v>0.093</v>
      </c>
      <c r="I50" s="16" t="n">
        <v>0.036</v>
      </c>
      <c r="J50" s="6" t="n">
        <v>22</v>
      </c>
      <c r="K50" s="6" t="n">
        <v>17</v>
      </c>
      <c r="L50" s="7" t="n">
        <f aca="false">K50-J50</f>
        <v>-5</v>
      </c>
      <c r="M50" s="10" t="n">
        <f aca="false">IF(J50=0,"",K50/J50-1)</f>
        <v>-0.227272727272727</v>
      </c>
      <c r="N50" s="17" t="n">
        <f aca="false">K50/D50*10000</f>
        <v>1.1739682890448</v>
      </c>
      <c r="O50" s="7" t="n">
        <f aca="false">IF(K50=0,"none",D50/K50)</f>
        <v>8518.11764705882</v>
      </c>
      <c r="P50" s="7" t="n">
        <f aca="false">IF(K50=0,"none",E50/K50)</f>
        <v>1544.47058823529</v>
      </c>
      <c r="Q50" s="16" t="n">
        <v>0.095</v>
      </c>
      <c r="R50" s="16" t="n">
        <v>0.333</v>
      </c>
      <c r="S50" s="16" t="n">
        <v>0.056</v>
      </c>
      <c r="T50" s="6" t="n">
        <v>2</v>
      </c>
    </row>
    <row r="51" customFormat="false" ht="15" hidden="false" customHeight="false" outlineLevel="0" collapsed="false">
      <c r="A51" s="15" t="s">
        <v>256</v>
      </c>
      <c r="B51" s="15" t="s">
        <v>257</v>
      </c>
      <c r="C51" s="15" t="s">
        <v>74</v>
      </c>
      <c r="D51" s="6" t="n">
        <v>572079</v>
      </c>
      <c r="E51" s="6" t="n">
        <v>83680</v>
      </c>
      <c r="F51" s="16" t="n">
        <v>0.146</v>
      </c>
      <c r="G51" s="16" t="n">
        <v>0.106</v>
      </c>
      <c r="H51" s="16" t="n">
        <v>0.161</v>
      </c>
      <c r="I51" s="16" t="n">
        <v>0.121</v>
      </c>
      <c r="J51" s="6" t="n">
        <v>137</v>
      </c>
      <c r="K51" s="6" t="n">
        <v>139</v>
      </c>
      <c r="L51" s="7" t="n">
        <f aca="false">K51-J51</f>
        <v>2</v>
      </c>
      <c r="M51" s="10" t="n">
        <f aca="false">IF(J51=0,"",K51/J51-1)</f>
        <v>0.0145985401459854</v>
      </c>
      <c r="N51" s="17" t="n">
        <f aca="false">K51/D51*10000</f>
        <v>2.42973435487057</v>
      </c>
      <c r="O51" s="7" t="n">
        <f aca="false">IF(K51=0,"none",D51/K51)</f>
        <v>4115.67625899281</v>
      </c>
      <c r="P51" s="7" t="n">
        <f aca="false">IF(K51=0,"none",E51/K51)</f>
        <v>602.014388489209</v>
      </c>
      <c r="Q51" s="16" t="n">
        <v>0.116</v>
      </c>
      <c r="R51" s="16" t="n">
        <v>0.337</v>
      </c>
      <c r="S51" s="16" t="n">
        <v>0.086</v>
      </c>
      <c r="T51" s="6" t="n">
        <v>0</v>
      </c>
    </row>
    <row r="52" customFormat="false" ht="15" hidden="false" customHeight="false" outlineLevel="0" collapsed="false">
      <c r="A52" s="15" t="s">
        <v>258</v>
      </c>
      <c r="B52" s="15" t="s">
        <v>259</v>
      </c>
      <c r="C52" s="15" t="s">
        <v>74</v>
      </c>
      <c r="D52" s="6" t="n">
        <v>109739</v>
      </c>
      <c r="E52" s="6" t="n">
        <v>20522</v>
      </c>
      <c r="F52" s="16" t="n">
        <v>0.187</v>
      </c>
      <c r="G52" s="16" t="n">
        <v>0.063</v>
      </c>
      <c r="H52" s="16" t="n">
        <v>0.123</v>
      </c>
      <c r="I52" s="16" t="n">
        <v>0.05</v>
      </c>
      <c r="J52" s="6" t="n">
        <v>25</v>
      </c>
      <c r="K52" s="6" t="n">
        <v>22</v>
      </c>
      <c r="L52" s="7" t="n">
        <f aca="false">K52-J52</f>
        <v>-3</v>
      </c>
      <c r="M52" s="10" t="n">
        <f aca="false">IF(J52=0,"",K52/J52-1)</f>
        <v>-0.12</v>
      </c>
      <c r="N52" s="17" t="n">
        <f aca="false">K52/D52*10000</f>
        <v>2.00475674099454</v>
      </c>
      <c r="O52" s="7" t="n">
        <f aca="false">IF(K52=0,"none",D52/K52)</f>
        <v>4988.13636363636</v>
      </c>
      <c r="P52" s="7" t="n">
        <f aca="false">IF(K52=0,"none",E52/K52)</f>
        <v>932.818181818182</v>
      </c>
      <c r="Q52" s="16" t="n">
        <v>0.1</v>
      </c>
      <c r="R52" s="16" t="n">
        <v>0.345</v>
      </c>
      <c r="S52" s="16" t="n">
        <v>0.063</v>
      </c>
      <c r="T52" s="6" t="n">
        <v>0</v>
      </c>
    </row>
    <row r="53" customFormat="false" ht="15" hidden="false" customHeight="false" outlineLevel="0" collapsed="false">
      <c r="A53" s="15" t="s">
        <v>260</v>
      </c>
      <c r="B53" s="15" t="s">
        <v>261</v>
      </c>
      <c r="C53" s="15" t="s">
        <v>75</v>
      </c>
      <c r="D53" s="6" t="n">
        <v>315041</v>
      </c>
      <c r="E53" s="6" t="n">
        <v>55160</v>
      </c>
      <c r="F53" s="16" t="n">
        <v>0.175</v>
      </c>
      <c r="G53" s="16" t="n">
        <v>0.125</v>
      </c>
      <c r="H53" s="16" t="n">
        <v>0.184</v>
      </c>
      <c r="I53" s="16" t="n">
        <v>0.03</v>
      </c>
      <c r="J53" s="6" t="n">
        <v>66</v>
      </c>
      <c r="K53" s="6" t="n">
        <v>57</v>
      </c>
      <c r="L53" s="7" t="n">
        <f aca="false">K53-J53</f>
        <v>-9</v>
      </c>
      <c r="M53" s="10" t="n">
        <f aca="false">IF(J53=0,"",K53/J53-1)</f>
        <v>-0.136363636363636</v>
      </c>
      <c r="N53" s="17" t="n">
        <f aca="false">K53/D53*10000</f>
        <v>1.80928831485426</v>
      </c>
      <c r="O53" s="7" t="n">
        <f aca="false">IF(K53=0,"none",D53/K53)</f>
        <v>5527.0350877193</v>
      </c>
      <c r="P53" s="7" t="n">
        <f aca="false">IF(K53=0,"none",E53/K53)</f>
        <v>967.719298245614</v>
      </c>
      <c r="Q53" s="16" t="n">
        <v>0.092</v>
      </c>
      <c r="R53" s="16" t="n">
        <v>0.317</v>
      </c>
      <c r="S53" s="16" t="n">
        <v>0.072</v>
      </c>
      <c r="T53" s="6" t="n">
        <v>0</v>
      </c>
    </row>
    <row r="54" customFormat="false" ht="15" hidden="false" customHeight="false" outlineLevel="0" collapsed="false">
      <c r="A54" s="15" t="s">
        <v>262</v>
      </c>
      <c r="B54" s="15" t="s">
        <v>175</v>
      </c>
      <c r="C54" s="15" t="s">
        <v>75</v>
      </c>
      <c r="D54" s="6" t="n">
        <v>47222</v>
      </c>
      <c r="E54" s="6" t="n">
        <v>9128</v>
      </c>
      <c r="F54" s="16" t="n">
        <v>0.193</v>
      </c>
      <c r="G54" s="16" t="n">
        <v>0.073</v>
      </c>
      <c r="H54" s="16" t="n">
        <v>0.267</v>
      </c>
      <c r="I54" s="16" t="n">
        <v>0.053</v>
      </c>
      <c r="J54" s="6" t="n">
        <v>9</v>
      </c>
      <c r="K54" s="6" t="n">
        <v>9</v>
      </c>
      <c r="L54" s="7" t="n">
        <f aca="false">K54-J54</f>
        <v>0</v>
      </c>
      <c r="M54" s="10" t="n">
        <f aca="false">IF(J54=0,"",K54/J54-1)</f>
        <v>0</v>
      </c>
      <c r="N54" s="17" t="n">
        <f aca="false">K54/D54*10000</f>
        <v>1.90589132184151</v>
      </c>
      <c r="O54" s="7" t="n">
        <f aca="false">IF(K54=0,"none",D54/K54)</f>
        <v>5246.88888888889</v>
      </c>
      <c r="P54" s="7" t="n">
        <f aca="false">IF(K54=0,"none",E54/K54)</f>
        <v>1014.22222222222</v>
      </c>
      <c r="Q54" s="16" t="n">
        <v>0.111</v>
      </c>
      <c r="R54" s="16" t="n">
        <v>0.355</v>
      </c>
      <c r="S54" s="16" t="n">
        <v>0.081</v>
      </c>
      <c r="T54" s="6" t="n">
        <v>0</v>
      </c>
    </row>
    <row r="55" customFormat="false" ht="15" hidden="false" customHeight="false" outlineLevel="0" collapsed="false">
      <c r="A55" s="15" t="s">
        <v>263</v>
      </c>
      <c r="B55" s="15" t="s">
        <v>264</v>
      </c>
      <c r="C55" s="15" t="s">
        <v>75</v>
      </c>
      <c r="D55" s="6" t="n">
        <v>1443229</v>
      </c>
      <c r="E55" s="6" t="n">
        <v>191647</v>
      </c>
      <c r="F55" s="16" t="n">
        <v>0.133</v>
      </c>
      <c r="G55" s="16" t="n">
        <v>0.602</v>
      </c>
      <c r="H55" s="16" t="n">
        <v>0.386</v>
      </c>
      <c r="I55" s="16" t="n">
        <v>0.076</v>
      </c>
      <c r="J55" s="6" t="n">
        <v>419</v>
      </c>
      <c r="K55" s="6" t="n">
        <v>385</v>
      </c>
      <c r="L55" s="7" t="n">
        <f aca="false">K55-J55</f>
        <v>-34</v>
      </c>
      <c r="M55" s="10" t="n">
        <f aca="false">IF(J55=0,"",K55/J55-1)</f>
        <v>-0.081145584725537</v>
      </c>
      <c r="N55" s="17" t="n">
        <f aca="false">K55/D55*10000</f>
        <v>2.66762932285867</v>
      </c>
      <c r="O55" s="7" t="n">
        <f aca="false">IF(K55=0,"none",D55/K55)</f>
        <v>3748.64675324675</v>
      </c>
      <c r="P55" s="7" t="n">
        <f aca="false">IF(K55=0,"none",E55/K55)</f>
        <v>497.784415584416</v>
      </c>
      <c r="Q55" s="16" t="n">
        <v>0.161</v>
      </c>
      <c r="R55" s="16" t="n">
        <v>0.365</v>
      </c>
      <c r="S55" s="16" t="n">
        <v>0.161</v>
      </c>
      <c r="T55" s="6" t="n">
        <v>0</v>
      </c>
    </row>
    <row r="56" customFormat="false" ht="15" hidden="false" customHeight="false" outlineLevel="0" collapsed="false">
      <c r="A56" s="15" t="s">
        <v>265</v>
      </c>
      <c r="B56" s="15" t="s">
        <v>266</v>
      </c>
      <c r="C56" s="15" t="s">
        <v>75</v>
      </c>
      <c r="D56" s="6" t="n">
        <v>198365</v>
      </c>
      <c r="E56" s="6" t="n">
        <v>39154</v>
      </c>
      <c r="F56" s="16" t="n">
        <v>0.197</v>
      </c>
      <c r="G56" s="16" t="n">
        <v>0.125</v>
      </c>
      <c r="H56" s="16" t="n">
        <v>0.274</v>
      </c>
      <c r="I56" s="16" t="n">
        <v>0.038</v>
      </c>
      <c r="J56" s="6" t="n">
        <v>41</v>
      </c>
      <c r="K56" s="6" t="n">
        <v>33</v>
      </c>
      <c r="L56" s="7" t="n">
        <f aca="false">K56-J56</f>
        <v>-8</v>
      </c>
      <c r="M56" s="10" t="n">
        <f aca="false">IF(J56=0,"",K56/J56-1)</f>
        <v>-0.195121951219512</v>
      </c>
      <c r="N56" s="17" t="n">
        <f aca="false">K56/D56*10000</f>
        <v>1.66359992942303</v>
      </c>
      <c r="O56" s="7" t="n">
        <f aca="false">IF(K56=0,"none",D56/K56)</f>
        <v>6011.06060606061</v>
      </c>
      <c r="P56" s="7" t="n">
        <f aca="false">IF(K56=0,"none",E56/K56)</f>
        <v>1186.48484848485</v>
      </c>
      <c r="Q56" s="16" t="n">
        <v>0.109</v>
      </c>
      <c r="R56" s="16" t="n">
        <v>0.35</v>
      </c>
      <c r="S56" s="16" t="n">
        <v>0.085</v>
      </c>
      <c r="T56" s="6" t="n">
        <v>2</v>
      </c>
    </row>
    <row r="57" customFormat="false" ht="15" hidden="false" customHeight="false" outlineLevel="0" collapsed="false">
      <c r="A57" s="15" t="s">
        <v>267</v>
      </c>
      <c r="B57" s="15" t="s">
        <v>268</v>
      </c>
      <c r="C57" s="15" t="s">
        <v>75</v>
      </c>
      <c r="D57" s="6" t="n">
        <v>77000</v>
      </c>
      <c r="E57" s="6" t="n">
        <v>15353</v>
      </c>
      <c r="F57" s="16" t="n">
        <v>0.199</v>
      </c>
      <c r="G57" s="16" t="n">
        <v>0.104</v>
      </c>
      <c r="H57" s="16" t="n">
        <v>0.271</v>
      </c>
      <c r="I57" s="16" t="n">
        <v>0.066</v>
      </c>
      <c r="J57" s="6" t="n">
        <v>14</v>
      </c>
      <c r="K57" s="6" t="n">
        <v>9</v>
      </c>
      <c r="L57" s="7" t="n">
        <f aca="false">K57-J57</f>
        <v>-5</v>
      </c>
      <c r="M57" s="10" t="n">
        <f aca="false">IF(J57=0,"",K57/J57-1)</f>
        <v>-0.357142857142857</v>
      </c>
      <c r="N57" s="17" t="n">
        <f aca="false">K57/D57*10000</f>
        <v>1.16883116883117</v>
      </c>
      <c r="O57" s="7" t="n">
        <f aca="false">IF(K57=0,"none",D57/K57)</f>
        <v>8555.55555555556</v>
      </c>
      <c r="P57" s="7" t="n">
        <f aca="false">IF(K57=0,"none",E57/K57)</f>
        <v>1705.88888888889</v>
      </c>
      <c r="Q57" s="16" t="n">
        <v>0.121</v>
      </c>
      <c r="R57" s="16" t="n">
        <v>0.381</v>
      </c>
      <c r="S57" s="16" t="n">
        <v>0.087</v>
      </c>
      <c r="T57" s="6" t="n">
        <v>0</v>
      </c>
    </row>
    <row r="58" customFormat="false" ht="15" hidden="false" customHeight="false" outlineLevel="0" collapsed="false">
      <c r="A58" s="15" t="s">
        <v>269</v>
      </c>
      <c r="B58" s="15" t="s">
        <v>270</v>
      </c>
      <c r="C58" s="15" t="s">
        <v>75</v>
      </c>
      <c r="D58" s="6" t="n">
        <v>76171</v>
      </c>
      <c r="E58" s="6" t="n">
        <v>15272</v>
      </c>
      <c r="F58" s="16" t="n">
        <v>0.2</v>
      </c>
      <c r="G58" s="16" t="n">
        <v>0.1</v>
      </c>
      <c r="H58" s="16" t="n">
        <v>0.231</v>
      </c>
      <c r="I58" s="16" t="n">
        <v>0.041</v>
      </c>
      <c r="J58" s="6" t="n">
        <v>11</v>
      </c>
      <c r="K58" s="6" t="n">
        <v>8</v>
      </c>
      <c r="L58" s="7" t="n">
        <f aca="false">K58-J58</f>
        <v>-3</v>
      </c>
      <c r="M58" s="10" t="n">
        <f aca="false">IF(J58=0,"",K58/J58-1)</f>
        <v>-0.272727272727273</v>
      </c>
      <c r="N58" s="17" t="n">
        <f aca="false">K58/D58*10000</f>
        <v>1.05026847487889</v>
      </c>
      <c r="O58" s="7" t="n">
        <f aca="false">IF(K58=0,"none",D58/K58)</f>
        <v>9521.375</v>
      </c>
      <c r="P58" s="7" t="n">
        <f aca="false">IF(K58=0,"none",E58/K58)</f>
        <v>1909</v>
      </c>
      <c r="Q58" s="16" t="n">
        <v>0.118</v>
      </c>
      <c r="R58" s="16" t="n">
        <v>0.368</v>
      </c>
      <c r="S58" s="16" t="n">
        <v>0.08</v>
      </c>
      <c r="T58" s="6" t="n">
        <v>0</v>
      </c>
    </row>
    <row r="59" customFormat="false" ht="15" hidden="false" customHeight="false" outlineLevel="0" collapsed="false">
      <c r="A59" s="15" t="s">
        <v>271</v>
      </c>
      <c r="B59" s="15" t="s">
        <v>272</v>
      </c>
      <c r="C59" s="15" t="s">
        <v>75</v>
      </c>
      <c r="D59" s="6" t="n">
        <v>127440</v>
      </c>
      <c r="E59" s="6" t="n">
        <v>26525</v>
      </c>
      <c r="F59" s="16" t="n">
        <v>0.208</v>
      </c>
      <c r="G59" s="16" t="n">
        <v>0.118</v>
      </c>
      <c r="H59" s="16" t="n">
        <v>0.277</v>
      </c>
      <c r="I59" s="16" t="n">
        <v>0.055</v>
      </c>
      <c r="J59" s="6" t="n">
        <v>22</v>
      </c>
      <c r="K59" s="6" t="n">
        <v>16</v>
      </c>
      <c r="L59" s="7" t="n">
        <f aca="false">K59-J59</f>
        <v>-6</v>
      </c>
      <c r="M59" s="10" t="n">
        <f aca="false">IF(J59=0,"",K59/J59-1)</f>
        <v>-0.272727272727273</v>
      </c>
      <c r="N59" s="17" t="n">
        <f aca="false">K59/D59*10000</f>
        <v>1.25549278091651</v>
      </c>
      <c r="O59" s="7" t="n">
        <f aca="false">IF(K59=0,"none",D59/K59)</f>
        <v>7965</v>
      </c>
      <c r="P59" s="7" t="n">
        <f aca="false">IF(K59=0,"none",E59/K59)</f>
        <v>1657.8125</v>
      </c>
      <c r="Q59" s="16" t="n">
        <v>0.126</v>
      </c>
      <c r="R59" s="16" t="n">
        <v>0.373</v>
      </c>
      <c r="S59" s="16" t="n">
        <v>0.086</v>
      </c>
      <c r="T59" s="6" t="n">
        <v>0</v>
      </c>
    </row>
    <row r="60" customFormat="false" ht="15" hidden="false" customHeight="false" outlineLevel="0" collapsed="false">
      <c r="A60" s="15" t="s">
        <v>273</v>
      </c>
      <c r="B60" s="15" t="s">
        <v>274</v>
      </c>
      <c r="C60" s="15" t="s">
        <v>75</v>
      </c>
      <c r="D60" s="6" t="n">
        <v>83584</v>
      </c>
      <c r="E60" s="6" t="n">
        <v>16376</v>
      </c>
      <c r="F60" s="16" t="n">
        <v>0.196</v>
      </c>
      <c r="G60" s="16" t="n">
        <v>0.102</v>
      </c>
      <c r="H60" s="16" t="n">
        <v>0.241</v>
      </c>
      <c r="I60" s="16" t="n">
        <v>0.043</v>
      </c>
      <c r="J60" s="6" t="n">
        <v>15</v>
      </c>
      <c r="K60" s="6" t="n">
        <v>9</v>
      </c>
      <c r="L60" s="7" t="n">
        <f aca="false">K60-J60</f>
        <v>-6</v>
      </c>
      <c r="M60" s="10" t="n">
        <f aca="false">IF(J60=0,"",K60/J60-1)</f>
        <v>-0.4</v>
      </c>
      <c r="N60" s="17" t="n">
        <f aca="false">K60/D60*10000</f>
        <v>1.07676110260337</v>
      </c>
      <c r="O60" s="7" t="n">
        <f aca="false">IF(K60=0,"none",D60/K60)</f>
        <v>9287.11111111111</v>
      </c>
      <c r="P60" s="7" t="n">
        <f aca="false">IF(K60=0,"none",E60/K60)</f>
        <v>1819.55555555556</v>
      </c>
      <c r="Q60" s="16" t="n">
        <v>0.115</v>
      </c>
      <c r="R60" s="16" t="n">
        <v>0.368</v>
      </c>
      <c r="S60" s="16" t="n">
        <v>0.081</v>
      </c>
      <c r="T60" s="6" t="n">
        <v>1</v>
      </c>
    </row>
    <row r="61" customFormat="false" ht="15" hidden="false" customHeight="false" outlineLevel="0" collapsed="false">
      <c r="A61" s="15" t="s">
        <v>275</v>
      </c>
      <c r="B61" s="15" t="s">
        <v>276</v>
      </c>
      <c r="C61" s="15" t="s">
        <v>75</v>
      </c>
      <c r="D61" s="6" t="n">
        <v>47096</v>
      </c>
      <c r="E61" s="6" t="n">
        <v>10043</v>
      </c>
      <c r="F61" s="16" t="n">
        <v>0.213</v>
      </c>
      <c r="G61" s="16" t="n">
        <v>0.084</v>
      </c>
      <c r="H61" s="16" t="n">
        <v>0.222</v>
      </c>
      <c r="I61" s="16" t="n">
        <v>0.036</v>
      </c>
      <c r="J61" s="6" t="n">
        <v>8</v>
      </c>
      <c r="K61" s="6" t="n">
        <v>7</v>
      </c>
      <c r="L61" s="7" t="n">
        <f aca="false">K61-J61</f>
        <v>-1</v>
      </c>
      <c r="M61" s="10" t="n">
        <f aca="false">IF(J61=0,"",K61/J61-1)</f>
        <v>-0.125</v>
      </c>
      <c r="N61" s="17" t="n">
        <f aca="false">K61/D61*10000</f>
        <v>1.48632580261593</v>
      </c>
      <c r="O61" s="7" t="n">
        <f aca="false">IF(K61=0,"none",D61/K61)</f>
        <v>6728</v>
      </c>
      <c r="P61" s="7" t="n">
        <f aca="false">IF(K61=0,"none",E61/K61)</f>
        <v>1434.71428571429</v>
      </c>
      <c r="Q61" s="16" t="n">
        <v>0.123</v>
      </c>
      <c r="R61" s="16" t="n">
        <v>0.371</v>
      </c>
      <c r="S61" s="16" t="n">
        <v>0.078</v>
      </c>
      <c r="T61" s="6" t="n">
        <v>0</v>
      </c>
    </row>
    <row r="62" customFormat="false" ht="15" hidden="false" customHeight="false" outlineLevel="0" collapsed="false">
      <c r="A62" s="15" t="s">
        <v>277</v>
      </c>
      <c r="B62" s="15" t="s">
        <v>278</v>
      </c>
      <c r="C62" s="15" t="s">
        <v>75</v>
      </c>
      <c r="D62" s="6" t="n">
        <v>79839</v>
      </c>
      <c r="E62" s="6" t="n">
        <v>14244</v>
      </c>
      <c r="F62" s="16" t="n">
        <v>0.178</v>
      </c>
      <c r="G62" s="16" t="n">
        <v>0.095</v>
      </c>
      <c r="H62" s="16" t="n">
        <v>0.214</v>
      </c>
      <c r="I62" s="16" t="n">
        <v>0.033</v>
      </c>
      <c r="J62" s="6" t="n">
        <v>15</v>
      </c>
      <c r="K62" s="6" t="n">
        <v>14</v>
      </c>
      <c r="L62" s="7" t="n">
        <f aca="false">K62-J62</f>
        <v>-1</v>
      </c>
      <c r="M62" s="10" t="n">
        <f aca="false">IF(J62=0,"",K62/J62-1)</f>
        <v>-0.0666666666666667</v>
      </c>
      <c r="N62" s="17" t="n">
        <f aca="false">K62/D62*10000</f>
        <v>1.75352897706635</v>
      </c>
      <c r="O62" s="7" t="n">
        <f aca="false">IF(K62=0,"none",D62/K62)</f>
        <v>5702.78571428572</v>
      </c>
      <c r="P62" s="7" t="n">
        <f aca="false">IF(K62=0,"none",E62/K62)</f>
        <v>1017.42857142857</v>
      </c>
      <c r="Q62" s="16" t="n">
        <v>0.107</v>
      </c>
      <c r="R62" s="16" t="n">
        <v>0.341</v>
      </c>
      <c r="S62" s="16" t="n">
        <v>0.078</v>
      </c>
      <c r="T62" s="6" t="n">
        <v>0</v>
      </c>
    </row>
    <row r="63" customFormat="false" ht="15" hidden="false" customHeight="false" outlineLevel="0" collapsed="false">
      <c r="A63" s="15" t="s">
        <v>279</v>
      </c>
      <c r="B63" s="15" t="s">
        <v>280</v>
      </c>
      <c r="C63" s="15" t="s">
        <v>75</v>
      </c>
      <c r="D63" s="6" t="n">
        <v>61469</v>
      </c>
      <c r="E63" s="6" t="n">
        <v>15226</v>
      </c>
      <c r="F63" s="16" t="n">
        <v>0.248</v>
      </c>
      <c r="G63" s="16" t="n">
        <v>0.062</v>
      </c>
      <c r="H63" s="16" t="n">
        <v>0.186</v>
      </c>
      <c r="I63" s="16" t="n">
        <v>0.039</v>
      </c>
      <c r="J63" s="6" t="n">
        <v>10</v>
      </c>
      <c r="K63" s="6" t="n">
        <v>10</v>
      </c>
      <c r="L63" s="7" t="n">
        <f aca="false">K63-J63</f>
        <v>0</v>
      </c>
      <c r="M63" s="10" t="n">
        <f aca="false">IF(J63=0,"",K63/J63-1)</f>
        <v>0</v>
      </c>
      <c r="N63" s="17" t="n">
        <f aca="false">K63/D63*10000</f>
        <v>1.62683629146399</v>
      </c>
      <c r="O63" s="7" t="n">
        <f aca="false">IF(K63=0,"none",D63/K63)</f>
        <v>6146.9</v>
      </c>
      <c r="P63" s="7" t="n">
        <f aca="false">IF(K63=0,"none",E63/K63)</f>
        <v>1522.6</v>
      </c>
      <c r="Q63" s="16" t="n">
        <v>0.118</v>
      </c>
      <c r="R63" s="16" t="n">
        <v>0.37</v>
      </c>
      <c r="S63" s="16" t="n">
        <v>0.064</v>
      </c>
      <c r="T63" s="6" t="n">
        <v>0</v>
      </c>
    </row>
    <row r="64" customFormat="false" ht="15" hidden="false" customHeight="false" outlineLevel="0" collapsed="false">
      <c r="A64" s="15" t="s">
        <v>281</v>
      </c>
      <c r="B64" s="15" t="s">
        <v>282</v>
      </c>
      <c r="C64" s="15" t="s">
        <v>75</v>
      </c>
      <c r="D64" s="6" t="n">
        <v>46755</v>
      </c>
      <c r="E64" s="6" t="n">
        <v>7714</v>
      </c>
      <c r="F64" s="16" t="n">
        <v>0.165</v>
      </c>
      <c r="G64" s="16" t="n">
        <v>0.09</v>
      </c>
      <c r="H64" s="16" t="n">
        <v>0.214</v>
      </c>
      <c r="I64" s="16" t="n">
        <v>0.037</v>
      </c>
      <c r="J64" s="6" t="n">
        <v>9</v>
      </c>
      <c r="K64" s="6" t="n">
        <v>8</v>
      </c>
      <c r="L64" s="7" t="n">
        <f aca="false">K64-J64</f>
        <v>-1</v>
      </c>
      <c r="M64" s="10" t="n">
        <f aca="false">IF(J64=0,"",K64/J64-1)</f>
        <v>-0.111111111111111</v>
      </c>
      <c r="N64" s="17" t="n">
        <f aca="false">K64/D64*10000</f>
        <v>1.7110469468506</v>
      </c>
      <c r="O64" s="7" t="n">
        <f aca="false">IF(K64=0,"none",D64/K64)</f>
        <v>5844.375</v>
      </c>
      <c r="P64" s="7" t="n">
        <f aca="false">IF(K64=0,"none",E64/K64)</f>
        <v>964.25</v>
      </c>
      <c r="Q64" s="16" t="n">
        <v>0.093</v>
      </c>
      <c r="R64" s="16" t="n">
        <v>0.311</v>
      </c>
      <c r="S64" s="16" t="n">
        <v>0.077</v>
      </c>
      <c r="T64" s="6" t="n">
        <v>0</v>
      </c>
    </row>
    <row r="65" customFormat="false" ht="15" hidden="false" customHeight="false" outlineLevel="0" collapsed="false">
      <c r="A65" s="15" t="s">
        <v>283</v>
      </c>
      <c r="B65" s="15" t="s">
        <v>91</v>
      </c>
      <c r="C65" s="15" t="s">
        <v>75</v>
      </c>
      <c r="D65" s="6" t="n">
        <v>44637</v>
      </c>
      <c r="E65" s="6" t="n">
        <v>11250</v>
      </c>
      <c r="F65" s="16" t="n">
        <v>0.252</v>
      </c>
      <c r="G65" s="16" t="n">
        <v>0.074</v>
      </c>
      <c r="H65" s="16" t="n">
        <v>0.26</v>
      </c>
      <c r="I65" s="16" t="n">
        <v>0.045</v>
      </c>
      <c r="J65" s="6" t="n">
        <v>12</v>
      </c>
      <c r="K65" s="6" t="n">
        <v>11</v>
      </c>
      <c r="L65" s="7" t="n">
        <f aca="false">K65-J65</f>
        <v>-1</v>
      </c>
      <c r="M65" s="10" t="n">
        <f aca="false">IF(J65=0,"",K65/J65-1)</f>
        <v>-0.0833333333333334</v>
      </c>
      <c r="N65" s="17" t="n">
        <f aca="false">K65/D65*10000</f>
        <v>2.46432331921948</v>
      </c>
      <c r="O65" s="7" t="n">
        <f aca="false">IF(K65=0,"none",D65/K65)</f>
        <v>4057.90909090909</v>
      </c>
      <c r="P65" s="7" t="n">
        <f aca="false">IF(K65=0,"none",E65/K65)</f>
        <v>1022.72727272727</v>
      </c>
      <c r="Q65" s="16" t="n">
        <v>0.125</v>
      </c>
      <c r="R65" s="16" t="n">
        <v>0.396</v>
      </c>
      <c r="S65" s="16" t="n">
        <v>0.076</v>
      </c>
      <c r="T65" s="6" t="n">
        <v>0</v>
      </c>
    </row>
    <row r="66" customFormat="false" ht="15" hidden="false" customHeight="false" outlineLevel="0" collapsed="false">
      <c r="A66" s="15" t="s">
        <v>284</v>
      </c>
      <c r="B66" s="15" t="s">
        <v>285</v>
      </c>
      <c r="C66" s="15" t="s">
        <v>75</v>
      </c>
      <c r="D66" s="6" t="n">
        <v>296467</v>
      </c>
      <c r="E66" s="6" t="n">
        <v>54548</v>
      </c>
      <c r="F66" s="16" t="n">
        <v>0.184</v>
      </c>
      <c r="G66" s="16" t="n">
        <v>0.072</v>
      </c>
      <c r="H66" s="16" t="n">
        <v>0.141</v>
      </c>
      <c r="I66" s="16" t="n">
        <v>0.043</v>
      </c>
      <c r="J66" s="6" t="n">
        <v>61</v>
      </c>
      <c r="K66" s="6" t="n">
        <v>52</v>
      </c>
      <c r="L66" s="7" t="n">
        <f aca="false">K66-J66</f>
        <v>-9</v>
      </c>
      <c r="M66" s="10" t="n">
        <f aca="false">IF(J66=0,"",K66/J66-1)</f>
        <v>-0.147540983606557</v>
      </c>
      <c r="N66" s="17" t="n">
        <f aca="false">K66/D66*10000</f>
        <v>1.75398948280922</v>
      </c>
      <c r="O66" s="7" t="n">
        <f aca="false">IF(K66=0,"none",D66/K66)</f>
        <v>5701.28846153846</v>
      </c>
      <c r="P66" s="7" t="n">
        <f aca="false">IF(K66=0,"none",E66/K66)</f>
        <v>1049</v>
      </c>
      <c r="Q66" s="16" t="n">
        <v>0.099</v>
      </c>
      <c r="R66" s="16" t="n">
        <v>0.334</v>
      </c>
      <c r="S66" s="16" t="n">
        <v>0.069</v>
      </c>
      <c r="T66" s="6" t="n">
        <v>0</v>
      </c>
    </row>
    <row r="67" customFormat="false" ht="15" hidden="false" customHeight="false" outlineLevel="0" collapsed="false">
      <c r="A67" s="15" t="s">
        <v>286</v>
      </c>
      <c r="B67" s="15" t="s">
        <v>287</v>
      </c>
      <c r="C67" s="15" t="s">
        <v>75</v>
      </c>
      <c r="D67" s="6" t="n">
        <v>951232</v>
      </c>
      <c r="E67" s="6" t="n">
        <v>175697</v>
      </c>
      <c r="F67" s="16" t="n">
        <v>0.185</v>
      </c>
      <c r="G67" s="16" t="n">
        <v>0.121</v>
      </c>
      <c r="H67" s="16" t="n">
        <v>0.218</v>
      </c>
      <c r="I67" s="16" t="n">
        <v>0.029</v>
      </c>
      <c r="J67" s="6" t="n">
        <v>194</v>
      </c>
      <c r="K67" s="6" t="n">
        <v>131</v>
      </c>
      <c r="L67" s="7" t="n">
        <f aca="false">K67-J67</f>
        <v>-63</v>
      </c>
      <c r="M67" s="10" t="n">
        <f aca="false">IF(J67=0,"",K67/J67-1)</f>
        <v>-0.324742268041237</v>
      </c>
      <c r="N67" s="17" t="n">
        <f aca="false">K67/D67*10000</f>
        <v>1.37716140752203</v>
      </c>
      <c r="O67" s="7" t="n">
        <f aca="false">IF(K67=0,"none",D67/K67)</f>
        <v>7261.31297709924</v>
      </c>
      <c r="P67" s="7" t="n">
        <f aca="false">IF(K67=0,"none",E67/K67)</f>
        <v>1341.19847328244</v>
      </c>
      <c r="Q67" s="16" t="n">
        <v>0.108</v>
      </c>
      <c r="R67" s="16" t="n">
        <v>0.33</v>
      </c>
      <c r="S67" s="16" t="n">
        <v>0.076</v>
      </c>
      <c r="T67" s="6" t="n">
        <v>0</v>
      </c>
    </row>
    <row r="68" customFormat="false" ht="15" hidden="false" customHeight="false" outlineLevel="0" collapsed="false">
      <c r="A68" s="15" t="s">
        <v>288</v>
      </c>
      <c r="B68" s="15" t="s">
        <v>233</v>
      </c>
      <c r="C68" s="15" t="s">
        <v>75</v>
      </c>
      <c r="D68" s="6" t="n">
        <v>37314</v>
      </c>
      <c r="E68" s="6" t="n">
        <v>9264</v>
      </c>
      <c r="F68" s="16" t="n">
        <v>0.248</v>
      </c>
      <c r="G68" s="16" t="n">
        <v>0.094</v>
      </c>
      <c r="H68" s="16" t="n">
        <v>0.198</v>
      </c>
      <c r="I68" s="16" t="n">
        <v>0.041</v>
      </c>
      <c r="J68" s="6" t="n">
        <v>8</v>
      </c>
      <c r="K68" s="6" t="n">
        <v>7</v>
      </c>
      <c r="L68" s="7" t="n">
        <f aca="false">K68-J68</f>
        <v>-1</v>
      </c>
      <c r="M68" s="10" t="n">
        <f aca="false">IF(J68=0,"",K68/J68-1)</f>
        <v>-0.125</v>
      </c>
      <c r="N68" s="17" t="n">
        <f aca="false">K68/D68*10000</f>
        <v>1.87597148523342</v>
      </c>
      <c r="O68" s="7" t="n">
        <f aca="false">IF(K68=0,"none",D68/K68)</f>
        <v>5330.57142857143</v>
      </c>
      <c r="P68" s="7" t="n">
        <f aca="false">IF(K68=0,"none",E68/K68)</f>
        <v>1323.42857142857</v>
      </c>
      <c r="Q68" s="16" t="n">
        <v>0.118</v>
      </c>
      <c r="R68" s="16" t="n">
        <v>0.379</v>
      </c>
      <c r="S68" s="16" t="n">
        <v>0.066</v>
      </c>
      <c r="T68" s="6" t="n">
        <v>0</v>
      </c>
    </row>
    <row r="69" customFormat="false" ht="15" hidden="false" customHeight="false" outlineLevel="0" collapsed="false">
      <c r="A69" s="15" t="s">
        <v>289</v>
      </c>
      <c r="B69" s="15" t="s">
        <v>290</v>
      </c>
      <c r="C69" s="15" t="s">
        <v>75</v>
      </c>
      <c r="D69" s="6" t="n">
        <v>47459</v>
      </c>
      <c r="E69" s="6" t="n">
        <v>8753</v>
      </c>
      <c r="F69" s="16" t="n">
        <v>0.184</v>
      </c>
      <c r="G69" s="16" t="n">
        <v>0.11</v>
      </c>
      <c r="H69" s="16" t="n">
        <v>0.262</v>
      </c>
      <c r="I69" s="16" t="n">
        <v>0.06</v>
      </c>
      <c r="J69" s="6" t="n">
        <v>9</v>
      </c>
      <c r="K69" s="6" t="n">
        <v>9</v>
      </c>
      <c r="L69" s="7" t="n">
        <f aca="false">K69-J69</f>
        <v>0</v>
      </c>
      <c r="M69" s="10" t="n">
        <f aca="false">IF(J69=0,"",K69/J69-1)</f>
        <v>0</v>
      </c>
      <c r="N69" s="17" t="n">
        <f aca="false">K69/D69*10000</f>
        <v>1.89637371204619</v>
      </c>
      <c r="O69" s="7" t="n">
        <f aca="false">IF(K69=0,"none",D69/K69)</f>
        <v>5273.22222222222</v>
      </c>
      <c r="P69" s="7" t="n">
        <f aca="false">IF(K69=0,"none",E69/K69)</f>
        <v>972.555555555556</v>
      </c>
      <c r="Q69" s="16" t="n">
        <v>0.122</v>
      </c>
      <c r="R69" s="16" t="n">
        <v>0.364</v>
      </c>
      <c r="S69" s="16" t="n">
        <v>0.088</v>
      </c>
      <c r="T69" s="6" t="n">
        <v>0</v>
      </c>
    </row>
    <row r="70" customFormat="false" ht="15" hidden="false" customHeight="false" outlineLevel="0" collapsed="false">
      <c r="A70" s="15" t="s">
        <v>291</v>
      </c>
      <c r="B70" s="15" t="s">
        <v>292</v>
      </c>
      <c r="C70" s="15" t="s">
        <v>75</v>
      </c>
      <c r="D70" s="6" t="n">
        <v>53280</v>
      </c>
      <c r="E70" s="6" t="n">
        <v>10737</v>
      </c>
      <c r="F70" s="16" t="n">
        <v>0.202</v>
      </c>
      <c r="G70" s="16" t="n">
        <v>0.1</v>
      </c>
      <c r="H70" s="16" t="n">
        <v>0.242</v>
      </c>
      <c r="I70" s="16" t="n">
        <v>0.036</v>
      </c>
      <c r="J70" s="6" t="n">
        <v>11</v>
      </c>
      <c r="K70" s="6" t="n">
        <v>10</v>
      </c>
      <c r="L70" s="7" t="n">
        <f aca="false">K70-J70</f>
        <v>-1</v>
      </c>
      <c r="M70" s="10" t="n">
        <f aca="false">IF(J70=0,"",K70/J70-1)</f>
        <v>-0.0909090909090909</v>
      </c>
      <c r="N70" s="17" t="n">
        <f aca="false">K70/D70*10000</f>
        <v>1.87687687687688</v>
      </c>
      <c r="O70" s="7" t="n">
        <f aca="false">IF(K70=0,"none",D70/K70)</f>
        <v>5328</v>
      </c>
      <c r="P70" s="7" t="n">
        <f aca="false">IF(K70=0,"none",E70/K70)</f>
        <v>1073.7</v>
      </c>
      <c r="Q70" s="16" t="n">
        <v>0.121</v>
      </c>
      <c r="R70" s="16" t="n">
        <v>0.383</v>
      </c>
      <c r="S70" s="16" t="n">
        <v>0.081</v>
      </c>
      <c r="T70" s="6" t="n">
        <v>0</v>
      </c>
    </row>
    <row r="71" customFormat="false" ht="15" hidden="false" customHeight="false" outlineLevel="0" collapsed="false">
      <c r="A71" s="15" t="s">
        <v>293</v>
      </c>
      <c r="B71" s="15" t="s">
        <v>294</v>
      </c>
      <c r="C71" s="15" t="s">
        <v>75</v>
      </c>
      <c r="D71" s="6" t="n">
        <v>58204</v>
      </c>
      <c r="E71" s="6" t="n">
        <v>11331</v>
      </c>
      <c r="F71" s="16" t="n">
        <v>0.195</v>
      </c>
      <c r="G71" s="16" t="n">
        <v>0.098</v>
      </c>
      <c r="H71" s="16" t="n">
        <v>0.175</v>
      </c>
      <c r="I71" s="16" t="n">
        <v>0.031</v>
      </c>
      <c r="J71" s="6" t="n">
        <v>10</v>
      </c>
      <c r="K71" s="6" t="n">
        <v>6</v>
      </c>
      <c r="L71" s="7" t="n">
        <f aca="false">K71-J71</f>
        <v>-4</v>
      </c>
      <c r="M71" s="10" t="n">
        <f aca="false">IF(J71=0,"",K71/J71-1)</f>
        <v>-0.4</v>
      </c>
      <c r="N71" s="17" t="n">
        <f aca="false">K71/D71*10000</f>
        <v>1.03085698577417</v>
      </c>
      <c r="O71" s="7" t="n">
        <f aca="false">IF(K71=0,"none",D71/K71)</f>
        <v>9700.66666666667</v>
      </c>
      <c r="P71" s="7" t="n">
        <f aca="false">IF(K71=0,"none",E71/K71)</f>
        <v>1888.5</v>
      </c>
      <c r="Q71" s="16" t="n">
        <v>0.107</v>
      </c>
      <c r="R71" s="16" t="n">
        <v>0.351</v>
      </c>
      <c r="S71" s="16" t="n">
        <v>0.07</v>
      </c>
      <c r="T71" s="6" t="n">
        <v>0</v>
      </c>
    </row>
    <row r="72" customFormat="false" ht="15" hidden="false" customHeight="false" outlineLevel="0" collapsed="false">
      <c r="A72" s="15" t="s">
        <v>295</v>
      </c>
      <c r="B72" s="15" t="s">
        <v>296</v>
      </c>
      <c r="C72" s="15" t="s">
        <v>75</v>
      </c>
      <c r="D72" s="6" t="n">
        <v>48067</v>
      </c>
      <c r="E72" s="6" t="n">
        <v>11132</v>
      </c>
      <c r="F72" s="16" t="n">
        <v>0.232</v>
      </c>
      <c r="G72" s="16" t="n">
        <v>0.086</v>
      </c>
      <c r="H72" s="16" t="n">
        <v>0.188</v>
      </c>
      <c r="I72" s="16" t="n">
        <v>0.035</v>
      </c>
      <c r="J72" s="6" t="n">
        <v>10</v>
      </c>
      <c r="K72" s="6" t="n">
        <v>10</v>
      </c>
      <c r="L72" s="7" t="n">
        <f aca="false">K72-J72</f>
        <v>0</v>
      </c>
      <c r="M72" s="10" t="n">
        <f aca="false">IF(J72=0,"",K72/J72-1)</f>
        <v>0</v>
      </c>
      <c r="N72" s="17" t="n">
        <f aca="false">K72/D72*10000</f>
        <v>2.08042940062829</v>
      </c>
      <c r="O72" s="7" t="n">
        <f aca="false">IF(K72=0,"none",D72/K72)</f>
        <v>4806.7</v>
      </c>
      <c r="P72" s="7" t="n">
        <f aca="false">IF(K72=0,"none",E72/K72)</f>
        <v>1113.2</v>
      </c>
      <c r="Q72" s="16" t="n">
        <v>0.117</v>
      </c>
      <c r="R72" s="16" t="n">
        <v>0.366</v>
      </c>
      <c r="S72" s="16" t="n">
        <v>0.072</v>
      </c>
      <c r="T72" s="6" t="n">
        <v>0</v>
      </c>
    </row>
    <row r="73" customFormat="false" ht="15" hidden="false" customHeight="false" outlineLevel="0" collapsed="false">
      <c r="A73" s="15" t="s">
        <v>297</v>
      </c>
      <c r="B73" s="15" t="s">
        <v>298</v>
      </c>
      <c r="C73" s="15" t="s">
        <v>75</v>
      </c>
      <c r="D73" s="6" t="n">
        <v>5090</v>
      </c>
      <c r="E73" s="6" t="n">
        <v>1629</v>
      </c>
      <c r="F73" s="16" t="n">
        <v>0.32</v>
      </c>
      <c r="G73" s="16" t="n">
        <v>0.024</v>
      </c>
      <c r="H73" s="16" t="n">
        <v>0.2</v>
      </c>
      <c r="I73" s="16" t="n">
        <v>0.047</v>
      </c>
      <c r="J73" s="6" t="n">
        <v>0</v>
      </c>
      <c r="K73" s="6" t="n">
        <v>0</v>
      </c>
      <c r="L73" s="7" t="n">
        <f aca="false">K73-J73</f>
        <v>0</v>
      </c>
      <c r="M73" s="10" t="str">
        <f aca="false">IF(J73=0,"",K73/J73-1)</f>
        <v/>
      </c>
      <c r="N73" s="17" t="n">
        <f aca="false">K73/D73*10000</f>
        <v>0</v>
      </c>
      <c r="O73" s="7" t="str">
        <f aca="false">IF(K73=0,"none",D73/K73)</f>
        <v>none</v>
      </c>
      <c r="P73" s="7" t="str">
        <f aca="false">IF(K73=0,"none",E73/K73)</f>
        <v>none</v>
      </c>
      <c r="Q73" s="16" t="n">
        <v>0.134</v>
      </c>
      <c r="R73" s="16" t="n">
        <v>0.415</v>
      </c>
      <c r="S73" s="16" t="n">
        <v>0.063</v>
      </c>
      <c r="T73" s="6" t="n">
        <v>0</v>
      </c>
    </row>
    <row r="74" customFormat="false" ht="15" hidden="false" customHeight="false" outlineLevel="0" collapsed="false">
      <c r="A74" s="15" t="s">
        <v>299</v>
      </c>
      <c r="B74" s="15" t="s">
        <v>300</v>
      </c>
      <c r="C74" s="15" t="s">
        <v>75</v>
      </c>
      <c r="D74" s="6" t="n">
        <v>60293</v>
      </c>
      <c r="E74" s="6" t="n">
        <v>12856</v>
      </c>
      <c r="F74" s="16" t="n">
        <v>0.213</v>
      </c>
      <c r="G74" s="16" t="n">
        <v>0.101</v>
      </c>
      <c r="H74" s="16" t="n">
        <v>0.204</v>
      </c>
      <c r="I74" s="16" t="n">
        <v>0.047</v>
      </c>
      <c r="J74" s="6" t="n">
        <v>11</v>
      </c>
      <c r="K74" s="6" t="n">
        <v>7</v>
      </c>
      <c r="L74" s="7" t="n">
        <f aca="false">K74-J74</f>
        <v>-4</v>
      </c>
      <c r="M74" s="10" t="n">
        <f aca="false">IF(J74=0,"",K74/J74-1)</f>
        <v>-0.363636363636364</v>
      </c>
      <c r="N74" s="17" t="n">
        <f aca="false">K74/D74*10000</f>
        <v>1.16099713067852</v>
      </c>
      <c r="O74" s="7" t="n">
        <f aca="false">IF(K74=0,"none",D74/K74)</f>
        <v>8613.28571428571</v>
      </c>
      <c r="P74" s="7" t="n">
        <f aca="false">IF(K74=0,"none",E74/K74)</f>
        <v>1836.57142857143</v>
      </c>
      <c r="Q74" s="16" t="n">
        <v>0.113</v>
      </c>
      <c r="R74" s="16" t="n">
        <v>0.364</v>
      </c>
      <c r="S74" s="16" t="n">
        <v>0.073</v>
      </c>
      <c r="T74" s="6" t="n">
        <v>0</v>
      </c>
    </row>
    <row r="75" customFormat="false" ht="15" hidden="false" customHeight="false" outlineLevel="0" collapsed="false">
      <c r="A75" s="15" t="s">
        <v>301</v>
      </c>
      <c r="B75" s="15" t="s">
        <v>302</v>
      </c>
      <c r="C75" s="15" t="s">
        <v>75</v>
      </c>
      <c r="D75" s="6" t="n">
        <v>117445</v>
      </c>
      <c r="E75" s="6" t="n">
        <v>16666</v>
      </c>
      <c r="F75" s="16" t="n">
        <v>0.142</v>
      </c>
      <c r="G75" s="16" t="n">
        <v>0.085</v>
      </c>
      <c r="H75" s="16" t="n">
        <v>0.221</v>
      </c>
      <c r="I75" s="16" t="n">
        <v>0.054</v>
      </c>
      <c r="J75" s="6" t="n">
        <v>19</v>
      </c>
      <c r="K75" s="6" t="n">
        <v>13</v>
      </c>
      <c r="L75" s="7" t="n">
        <f aca="false">K75-J75</f>
        <v>-6</v>
      </c>
      <c r="M75" s="10" t="n">
        <f aca="false">IF(J75=0,"",K75/J75-1)</f>
        <v>-0.315789473684211</v>
      </c>
      <c r="N75" s="17" t="n">
        <f aca="false">K75/D75*10000</f>
        <v>1.10690110264379</v>
      </c>
      <c r="O75" s="7" t="n">
        <f aca="false">IF(K75=0,"none",D75/K75)</f>
        <v>9034.23076923077</v>
      </c>
      <c r="P75" s="7" t="n">
        <f aca="false">IF(K75=0,"none",E75/K75)</f>
        <v>1282</v>
      </c>
      <c r="Q75" s="16" t="n">
        <v>0.1</v>
      </c>
      <c r="R75" s="16" t="n">
        <v>0.308</v>
      </c>
      <c r="S75" s="16" t="n">
        <v>0.084</v>
      </c>
      <c r="T75" s="6" t="n">
        <v>0</v>
      </c>
    </row>
    <row r="76" customFormat="false" ht="15" hidden="false" customHeight="false" outlineLevel="0" collapsed="false">
      <c r="A76" s="15" t="s">
        <v>303</v>
      </c>
      <c r="B76" s="15" t="s">
        <v>304</v>
      </c>
      <c r="C76" s="15" t="s">
        <v>75</v>
      </c>
      <c r="D76" s="6" t="n">
        <v>2679620</v>
      </c>
      <c r="E76" s="6" t="n">
        <v>388584</v>
      </c>
      <c r="F76" s="16" t="n">
        <v>0.145</v>
      </c>
      <c r="G76" s="16" t="n">
        <v>0.553</v>
      </c>
      <c r="H76" s="16" t="n">
        <v>0.283</v>
      </c>
      <c r="I76" s="16" t="n">
        <v>0.063</v>
      </c>
      <c r="J76" s="6" t="n">
        <v>870</v>
      </c>
      <c r="K76" s="6" t="n">
        <v>828</v>
      </c>
      <c r="L76" s="7" t="n">
        <f aca="false">K76-J76</f>
        <v>-42</v>
      </c>
      <c r="M76" s="10" t="n">
        <f aca="false">IF(J76=0,"",K76/J76-1)</f>
        <v>-0.0482758620689655</v>
      </c>
      <c r="N76" s="17" t="n">
        <f aca="false">K76/D76*10000</f>
        <v>3.08999037176913</v>
      </c>
      <c r="O76" s="7" t="n">
        <f aca="false">IF(K76=0,"none",D76/K76)</f>
        <v>3236.25603864734</v>
      </c>
      <c r="P76" s="7" t="n">
        <f aca="false">IF(K76=0,"none",E76/K76)</f>
        <v>469.304347826087</v>
      </c>
      <c r="Q76" s="16" t="n">
        <v>0.12</v>
      </c>
      <c r="R76" s="16" t="n">
        <v>0.304</v>
      </c>
      <c r="S76" s="16" t="n">
        <v>0.109</v>
      </c>
      <c r="T76" s="6" t="n">
        <v>0</v>
      </c>
    </row>
    <row r="77" customFormat="false" ht="15" hidden="false" customHeight="false" outlineLevel="0" collapsed="false">
      <c r="A77" s="15" t="s">
        <v>305</v>
      </c>
      <c r="B77" s="15" t="s">
        <v>306</v>
      </c>
      <c r="C77" s="15" t="s">
        <v>75</v>
      </c>
      <c r="D77" s="6" t="n">
        <v>26690</v>
      </c>
      <c r="E77" s="6" t="n">
        <v>5229</v>
      </c>
      <c r="F77" s="16" t="n">
        <v>0.196</v>
      </c>
      <c r="G77" s="16" t="n">
        <v>0.056</v>
      </c>
      <c r="H77" s="16" t="n">
        <v>0.231</v>
      </c>
      <c r="I77" s="16" t="n">
        <v>0.043</v>
      </c>
      <c r="J77" s="6" t="n">
        <v>3</v>
      </c>
      <c r="K77" s="6" t="n">
        <v>3</v>
      </c>
      <c r="L77" s="7" t="n">
        <f aca="false">K77-J77</f>
        <v>0</v>
      </c>
      <c r="M77" s="10" t="n">
        <f aca="false">IF(J77=0,"",K77/J77-1)</f>
        <v>0</v>
      </c>
      <c r="N77" s="17" t="n">
        <f aca="false">K77/D77*10000</f>
        <v>1.12401648557512</v>
      </c>
      <c r="O77" s="7" t="n">
        <f aca="false">IF(K77=0,"none",D77/K77)</f>
        <v>8896.66666666667</v>
      </c>
      <c r="P77" s="7" t="n">
        <f aca="false">IF(K77=0,"none",E77/K77)</f>
        <v>1743</v>
      </c>
      <c r="Q77" s="16" t="n">
        <v>0.118</v>
      </c>
      <c r="R77" s="16" t="n">
        <v>0.363</v>
      </c>
      <c r="S77" s="16" t="n">
        <v>0.075</v>
      </c>
      <c r="T77" s="6" t="n">
        <v>0</v>
      </c>
    </row>
    <row r="78" customFormat="false" ht="15" hidden="false" customHeight="false" outlineLevel="0" collapsed="false">
      <c r="A78" s="15" t="s">
        <v>307</v>
      </c>
      <c r="B78" s="15" t="s">
        <v>308</v>
      </c>
      <c r="C78" s="15" t="s">
        <v>75</v>
      </c>
      <c r="D78" s="6" t="n">
        <v>61980</v>
      </c>
      <c r="E78" s="6" t="n">
        <v>11710</v>
      </c>
      <c r="F78" s="16" t="n">
        <v>0.189</v>
      </c>
      <c r="G78" s="16" t="n">
        <v>0.06</v>
      </c>
      <c r="H78" s="16" t="n">
        <v>0.183</v>
      </c>
      <c r="I78" s="16" t="n">
        <v>0.034</v>
      </c>
      <c r="J78" s="6" t="n">
        <v>12</v>
      </c>
      <c r="K78" s="6" t="n">
        <v>13</v>
      </c>
      <c r="L78" s="7" t="n">
        <f aca="false">K78-J78</f>
        <v>1</v>
      </c>
      <c r="M78" s="10" t="n">
        <f aca="false">IF(J78=0,"",K78/J78-1)</f>
        <v>0.0833333333333333</v>
      </c>
      <c r="N78" s="17" t="n">
        <f aca="false">K78/D78*10000</f>
        <v>2.09745079057761</v>
      </c>
      <c r="O78" s="7" t="n">
        <f aca="false">IF(K78=0,"none",D78/K78)</f>
        <v>4767.69230769231</v>
      </c>
      <c r="P78" s="7" t="n">
        <f aca="false">IF(K78=0,"none",E78/K78)</f>
        <v>900.769230769231</v>
      </c>
      <c r="Q78" s="16" t="n">
        <v>0.101</v>
      </c>
      <c r="R78" s="16" t="n">
        <v>0.337</v>
      </c>
      <c r="S78" s="16" t="n">
        <v>0.071</v>
      </c>
      <c r="T78" s="6" t="n">
        <v>0</v>
      </c>
    </row>
    <row r="79" customFormat="false" ht="15" hidden="false" customHeight="false" outlineLevel="0" collapsed="false">
      <c r="A79" s="15" t="s">
        <v>309</v>
      </c>
      <c r="B79" s="15" t="s">
        <v>310</v>
      </c>
      <c r="C79" s="15" t="s">
        <v>75</v>
      </c>
      <c r="D79" s="6" t="n">
        <v>68020</v>
      </c>
      <c r="E79" s="6" t="n">
        <v>13025</v>
      </c>
      <c r="F79" s="16" t="n">
        <v>0.191</v>
      </c>
      <c r="G79" s="16" t="n">
        <v>0.061</v>
      </c>
      <c r="H79" s="16" t="n">
        <v>0.173</v>
      </c>
      <c r="I79" s="16" t="n">
        <v>0.033</v>
      </c>
      <c r="J79" s="6" t="n">
        <v>12</v>
      </c>
      <c r="K79" s="6" t="n">
        <v>10</v>
      </c>
      <c r="L79" s="7" t="n">
        <f aca="false">K79-J79</f>
        <v>-2</v>
      </c>
      <c r="M79" s="10" t="n">
        <f aca="false">IF(J79=0,"",K79/J79-1)</f>
        <v>-0.166666666666667</v>
      </c>
      <c r="N79" s="17" t="n">
        <f aca="false">K79/D79*10000</f>
        <v>1.47015583651867</v>
      </c>
      <c r="O79" s="7" t="n">
        <f aca="false">IF(K79=0,"none",D79/K79)</f>
        <v>6802</v>
      </c>
      <c r="P79" s="7" t="n">
        <f aca="false">IF(K79=0,"none",E79/K79)</f>
        <v>1302.5</v>
      </c>
      <c r="Q79" s="16" t="n">
        <v>0.103</v>
      </c>
      <c r="R79" s="16" t="n">
        <v>0.337</v>
      </c>
      <c r="S79" s="16" t="n">
        <v>0.068</v>
      </c>
      <c r="T79" s="6" t="n">
        <v>0</v>
      </c>
    </row>
    <row r="80" customFormat="false" ht="15" hidden="false" customHeight="false" outlineLevel="0" collapsed="false">
      <c r="A80" s="15" t="s">
        <v>311</v>
      </c>
      <c r="B80" s="15" t="s">
        <v>312</v>
      </c>
      <c r="C80" s="15" t="s">
        <v>75</v>
      </c>
      <c r="D80" s="6" t="n">
        <v>756406</v>
      </c>
      <c r="E80" s="6" t="n">
        <v>135497</v>
      </c>
      <c r="F80" s="16" t="n">
        <v>0.179</v>
      </c>
      <c r="G80" s="16" t="n">
        <v>0.109</v>
      </c>
      <c r="H80" s="16" t="n">
        <v>0.207</v>
      </c>
      <c r="I80" s="16" t="n">
        <v>0.032</v>
      </c>
      <c r="J80" s="6" t="n">
        <v>117</v>
      </c>
      <c r="K80" s="6" t="n">
        <v>92</v>
      </c>
      <c r="L80" s="7" t="n">
        <f aca="false">K80-J80</f>
        <v>-25</v>
      </c>
      <c r="M80" s="10" t="n">
        <f aca="false">IF(J80=0,"",K80/J80-1)</f>
        <v>-0.213675213675214</v>
      </c>
      <c r="N80" s="17" t="n">
        <f aca="false">K80/D80*10000</f>
        <v>1.21627803058146</v>
      </c>
      <c r="O80" s="7" t="n">
        <f aca="false">IF(K80=0,"none",D80/K80)</f>
        <v>8221.80434782609</v>
      </c>
      <c r="P80" s="7" t="n">
        <f aca="false">IF(K80=0,"none",E80/K80)</f>
        <v>1472.79347826087</v>
      </c>
      <c r="Q80" s="16" t="n">
        <v>0.112</v>
      </c>
      <c r="R80" s="16" t="n">
        <v>0.337</v>
      </c>
      <c r="S80" s="16" t="n">
        <v>0.077</v>
      </c>
      <c r="T80" s="6" t="n">
        <v>0</v>
      </c>
    </row>
    <row r="81" customFormat="false" ht="15" hidden="false" customHeight="false" outlineLevel="0" collapsed="false">
      <c r="A81" s="15" t="s">
        <v>313</v>
      </c>
      <c r="B81" s="15" t="s">
        <v>203</v>
      </c>
      <c r="C81" s="15" t="s">
        <v>75</v>
      </c>
      <c r="D81" s="6" t="n">
        <v>49624</v>
      </c>
      <c r="E81" s="6" t="n">
        <v>9349</v>
      </c>
      <c r="F81" s="16" t="n">
        <v>0.188</v>
      </c>
      <c r="G81" s="16" t="n">
        <v>0.128</v>
      </c>
      <c r="H81" s="16" t="n">
        <v>0.268</v>
      </c>
      <c r="I81" s="16" t="n">
        <v>0.056</v>
      </c>
      <c r="J81" s="6" t="n">
        <v>11</v>
      </c>
      <c r="K81" s="6" t="n">
        <v>10</v>
      </c>
      <c r="L81" s="7" t="n">
        <f aca="false">K81-J81</f>
        <v>-1</v>
      </c>
      <c r="M81" s="10" t="n">
        <f aca="false">IF(J81=0,"",K81/J81-1)</f>
        <v>-0.0909090909090909</v>
      </c>
      <c r="N81" s="17" t="n">
        <f aca="false">K81/D81*10000</f>
        <v>2.01515395776237</v>
      </c>
      <c r="O81" s="7" t="n">
        <f aca="false">IF(K81=0,"none",D81/K81)</f>
        <v>4962.4</v>
      </c>
      <c r="P81" s="7" t="n">
        <f aca="false">IF(K81=0,"none",E81/K81)</f>
        <v>934.9</v>
      </c>
      <c r="Q81" s="16" t="n">
        <v>0.115</v>
      </c>
      <c r="R81" s="16" t="n">
        <v>0.353</v>
      </c>
      <c r="S81" s="16" t="n">
        <v>0.088</v>
      </c>
      <c r="T81" s="6" t="n">
        <v>0</v>
      </c>
    </row>
    <row r="82" customFormat="false" ht="15" hidden="false" customHeight="false" outlineLevel="0" collapsed="false">
      <c r="A82" s="15" t="s">
        <v>314</v>
      </c>
      <c r="B82" s="15" t="s">
        <v>315</v>
      </c>
      <c r="C82" s="15" t="s">
        <v>75</v>
      </c>
      <c r="D82" s="6" t="n">
        <v>1389160</v>
      </c>
      <c r="E82" s="6" t="n">
        <v>250475</v>
      </c>
      <c r="F82" s="16" t="n">
        <v>0.18</v>
      </c>
      <c r="G82" s="16" t="n">
        <v>0.066</v>
      </c>
      <c r="H82" s="16" t="n">
        <v>0.091</v>
      </c>
      <c r="I82" s="16" t="n">
        <v>0.04</v>
      </c>
      <c r="J82" s="6" t="n">
        <v>381</v>
      </c>
      <c r="K82" s="6" t="n">
        <v>391</v>
      </c>
      <c r="L82" s="7" t="n">
        <f aca="false">K82-J82</f>
        <v>10</v>
      </c>
      <c r="M82" s="10" t="n">
        <f aca="false">IF(J82=0,"",K82/J82-1)</f>
        <v>0.026246719160105</v>
      </c>
      <c r="N82" s="17" t="n">
        <f aca="false">K82/D82*10000</f>
        <v>2.81465058020674</v>
      </c>
      <c r="O82" s="7" t="n">
        <f aca="false">IF(K82=0,"none",D82/K82)</f>
        <v>3552.83887468031</v>
      </c>
      <c r="P82" s="7" t="n">
        <f aca="false">IF(K82=0,"none",E82/K82)</f>
        <v>640.601023017903</v>
      </c>
      <c r="Q82" s="16" t="n">
        <v>0.101</v>
      </c>
      <c r="R82" s="16" t="n">
        <v>0.318</v>
      </c>
      <c r="S82" s="16" t="n">
        <v>0.06</v>
      </c>
      <c r="T82" s="6" t="n">
        <v>0</v>
      </c>
    </row>
    <row r="83" customFormat="false" ht="15" hidden="false" customHeight="false" outlineLevel="0" collapsed="false">
      <c r="A83" s="15" t="s">
        <v>316</v>
      </c>
      <c r="B83" s="15" t="s">
        <v>95</v>
      </c>
      <c r="C83" s="15" t="s">
        <v>75</v>
      </c>
      <c r="D83" s="6" t="n">
        <v>1645867</v>
      </c>
      <c r="E83" s="6" t="n">
        <v>284256</v>
      </c>
      <c r="F83" s="16" t="n">
        <v>0.173</v>
      </c>
      <c r="G83" s="16" t="n">
        <v>0.779</v>
      </c>
      <c r="H83" s="16" t="n">
        <v>0.222</v>
      </c>
      <c r="I83" s="16" t="n">
        <v>0.046</v>
      </c>
      <c r="J83" s="6" t="n">
        <v>654</v>
      </c>
      <c r="K83" s="6" t="n">
        <v>585</v>
      </c>
      <c r="L83" s="7" t="n">
        <f aca="false">K83-J83</f>
        <v>-69</v>
      </c>
      <c r="M83" s="10" t="n">
        <f aca="false">IF(J83=0,"",K83/J83-1)</f>
        <v>-0.105504587155963</v>
      </c>
      <c r="N83" s="17" t="n">
        <f aca="false">K83/D83*10000</f>
        <v>3.55435767288608</v>
      </c>
      <c r="O83" s="7" t="n">
        <f aca="false">IF(K83=0,"none",D83/K83)</f>
        <v>2813.44786324786</v>
      </c>
      <c r="P83" s="7" t="n">
        <f aca="false">IF(K83=0,"none",E83/K83)</f>
        <v>485.907692307692</v>
      </c>
      <c r="Q83" s="16" t="n">
        <v>0.089</v>
      </c>
      <c r="R83" s="16" t="n">
        <v>0.272</v>
      </c>
      <c r="S83" s="16" t="n">
        <v>0.076</v>
      </c>
      <c r="T83" s="6" t="n">
        <v>0</v>
      </c>
    </row>
    <row r="84" customFormat="false" ht="15" hidden="false" customHeight="false" outlineLevel="0" collapsed="false">
      <c r="A84" s="15" t="s">
        <v>317</v>
      </c>
      <c r="B84" s="15" t="s">
        <v>318</v>
      </c>
      <c r="C84" s="15" t="s">
        <v>75</v>
      </c>
      <c r="D84" s="6" t="n">
        <v>212230</v>
      </c>
      <c r="E84" s="6" t="n">
        <v>41892</v>
      </c>
      <c r="F84" s="16" t="n">
        <v>0.197</v>
      </c>
      <c r="G84" s="16" t="n">
        <v>0.107</v>
      </c>
      <c r="H84" s="16" t="n">
        <v>0.202</v>
      </c>
      <c r="I84" s="16" t="n">
        <v>0.023</v>
      </c>
      <c r="J84" s="6" t="n">
        <v>44</v>
      </c>
      <c r="K84" s="6" t="n">
        <v>24</v>
      </c>
      <c r="L84" s="7" t="n">
        <f aca="false">K84-J84</f>
        <v>-20</v>
      </c>
      <c r="M84" s="10" t="n">
        <f aca="false">IF(J84=0,"",K84/J84-1)</f>
        <v>-0.454545454545455</v>
      </c>
      <c r="N84" s="17" t="n">
        <f aca="false">K84/D84*10000</f>
        <v>1.13084860764265</v>
      </c>
      <c r="O84" s="7" t="n">
        <f aca="false">IF(K84=0,"none",D84/K84)</f>
        <v>8842.91666666667</v>
      </c>
      <c r="P84" s="7" t="n">
        <f aca="false">IF(K84=0,"none",E84/K84)</f>
        <v>1745.5</v>
      </c>
      <c r="Q84" s="16" t="n">
        <v>0.113</v>
      </c>
      <c r="R84" s="16" t="n">
        <v>0.37</v>
      </c>
      <c r="S84" s="16" t="n">
        <v>0.075</v>
      </c>
      <c r="T84" s="6" t="n">
        <v>0</v>
      </c>
    </row>
    <row r="85" customFormat="false" ht="15" hidden="false" customHeight="false" outlineLevel="0" collapsed="false">
      <c r="A85" s="15" t="s">
        <v>319</v>
      </c>
      <c r="B85" s="15" t="s">
        <v>320</v>
      </c>
      <c r="C85" s="15" t="s">
        <v>75</v>
      </c>
      <c r="D85" s="6" t="n">
        <v>231055</v>
      </c>
      <c r="E85" s="6" t="n">
        <v>44289</v>
      </c>
      <c r="F85" s="16" t="n">
        <v>0.192</v>
      </c>
      <c r="G85" s="16" t="n">
        <v>0.106</v>
      </c>
      <c r="H85" s="16" t="n">
        <v>0.236</v>
      </c>
      <c r="I85" s="16" t="n">
        <v>0.034</v>
      </c>
      <c r="J85" s="6" t="n">
        <v>46</v>
      </c>
      <c r="K85" s="6" t="n">
        <v>40</v>
      </c>
      <c r="L85" s="7" t="n">
        <f aca="false">K85-J85</f>
        <v>-6</v>
      </c>
      <c r="M85" s="10" t="n">
        <f aca="false">IF(J85=0,"",K85/J85-1)</f>
        <v>-0.130434782608696</v>
      </c>
      <c r="N85" s="17" t="n">
        <f aca="false">K85/D85*10000</f>
        <v>1.73118954361516</v>
      </c>
      <c r="O85" s="7" t="n">
        <f aca="false">IF(K85=0,"none",D85/K85)</f>
        <v>5776.375</v>
      </c>
      <c r="P85" s="7" t="n">
        <f aca="false">IF(K85=0,"none",E85/K85)</f>
        <v>1107.225</v>
      </c>
      <c r="Q85" s="16" t="n">
        <v>0.115</v>
      </c>
      <c r="R85" s="16" t="n">
        <v>0.366</v>
      </c>
      <c r="S85" s="16" t="n">
        <v>0.082</v>
      </c>
      <c r="T85" s="6" t="n">
        <v>0</v>
      </c>
    </row>
    <row r="86" customFormat="false" ht="15" hidden="false" customHeight="false" outlineLevel="0" collapsed="false">
      <c r="A86" s="15" t="s">
        <v>321</v>
      </c>
      <c r="B86" s="15" t="s">
        <v>322</v>
      </c>
      <c r="C86" s="15" t="s">
        <v>75</v>
      </c>
      <c r="D86" s="6" t="n">
        <v>472637</v>
      </c>
      <c r="E86" s="6" t="n">
        <v>84343</v>
      </c>
      <c r="F86" s="16" t="n">
        <v>0.178</v>
      </c>
      <c r="G86" s="16" t="n">
        <v>0.122</v>
      </c>
      <c r="H86" s="16" t="n">
        <v>0.216</v>
      </c>
      <c r="I86" s="16" t="n">
        <v>0.035</v>
      </c>
      <c r="J86" s="6" t="n">
        <v>84</v>
      </c>
      <c r="K86" s="6" t="n">
        <v>66</v>
      </c>
      <c r="L86" s="7" t="n">
        <f aca="false">K86-J86</f>
        <v>-18</v>
      </c>
      <c r="M86" s="10" t="n">
        <f aca="false">IF(J86=0,"",K86/J86-1)</f>
        <v>-0.214285714285714</v>
      </c>
      <c r="N86" s="17" t="n">
        <f aca="false">K86/D86*10000</f>
        <v>1.39642050876254</v>
      </c>
      <c r="O86" s="7" t="n">
        <f aca="false">IF(K86=0,"none",D86/K86)</f>
        <v>7161.16666666667</v>
      </c>
      <c r="P86" s="7" t="n">
        <f aca="false">IF(K86=0,"none",E86/K86)</f>
        <v>1277.92424242424</v>
      </c>
      <c r="Q86" s="16" t="n">
        <v>0.109</v>
      </c>
      <c r="R86" s="16" t="n">
        <v>0.356</v>
      </c>
      <c r="S86" s="16" t="n">
        <v>0.077</v>
      </c>
      <c r="T86" s="6" t="n">
        <v>0</v>
      </c>
    </row>
    <row r="87" customFormat="false" ht="15" hidden="false" customHeight="false" outlineLevel="0" collapsed="false">
      <c r="A87" s="15" t="s">
        <v>323</v>
      </c>
      <c r="B87" s="15" t="s">
        <v>324</v>
      </c>
      <c r="C87" s="15" t="s">
        <v>75</v>
      </c>
      <c r="D87" s="6" t="n">
        <v>112288</v>
      </c>
      <c r="E87" s="6" t="n">
        <v>23610</v>
      </c>
      <c r="F87" s="16" t="n">
        <v>0.21</v>
      </c>
      <c r="G87" s="16" t="n">
        <v>0.065</v>
      </c>
      <c r="H87" s="16" t="n">
        <v>0.16</v>
      </c>
      <c r="I87" s="16" t="n">
        <v>0.033</v>
      </c>
      <c r="J87" s="6" t="n">
        <v>18</v>
      </c>
      <c r="K87" s="6" t="n">
        <v>15</v>
      </c>
      <c r="L87" s="7" t="n">
        <f aca="false">K87-J87</f>
        <v>-3</v>
      </c>
      <c r="M87" s="10" t="n">
        <f aca="false">IF(J87=0,"",K87/J87-1)</f>
        <v>-0.166666666666667</v>
      </c>
      <c r="N87" s="17" t="n">
        <f aca="false">K87/D87*10000</f>
        <v>1.33585066970647</v>
      </c>
      <c r="O87" s="7" t="n">
        <f aca="false">IF(K87=0,"none",D87/K87)</f>
        <v>7485.86666666667</v>
      </c>
      <c r="P87" s="7" t="n">
        <f aca="false">IF(K87=0,"none",E87/K87)</f>
        <v>1574</v>
      </c>
      <c r="Q87" s="16" t="n">
        <v>0.105</v>
      </c>
      <c r="R87" s="16" t="n">
        <v>0.341</v>
      </c>
      <c r="S87" s="16" t="n">
        <v>0.063</v>
      </c>
      <c r="T87" s="6" t="n">
        <v>0</v>
      </c>
    </row>
    <row r="88" customFormat="false" ht="15" hidden="false" customHeight="false" outlineLevel="0" collapsed="false">
      <c r="A88" s="15" t="s">
        <v>325</v>
      </c>
      <c r="B88" s="15" t="s">
        <v>326</v>
      </c>
      <c r="C88" s="15" t="s">
        <v>75</v>
      </c>
      <c r="D88" s="6" t="n">
        <v>401237</v>
      </c>
      <c r="E88" s="6" t="n">
        <v>56715</v>
      </c>
      <c r="F88" s="16" t="n">
        <v>0.141</v>
      </c>
      <c r="G88" s="16" t="n">
        <v>0.086</v>
      </c>
      <c r="H88" s="16" t="n">
        <v>0.202</v>
      </c>
      <c r="I88" s="16" t="n">
        <v>0.049</v>
      </c>
      <c r="J88" s="6" t="n">
        <v>88</v>
      </c>
      <c r="K88" s="6" t="n">
        <v>80</v>
      </c>
      <c r="L88" s="7" t="n">
        <f aca="false">K88-J88</f>
        <v>-8</v>
      </c>
      <c r="M88" s="10" t="n">
        <f aca="false">IF(J88=0,"",K88/J88-1)</f>
        <v>-0.0909090909090909</v>
      </c>
      <c r="N88" s="17" t="n">
        <f aca="false">K88/D88*10000</f>
        <v>1.99383406814426</v>
      </c>
      <c r="O88" s="7" t="n">
        <f aca="false">IF(K88=0,"none",D88/K88)</f>
        <v>5015.4625</v>
      </c>
      <c r="P88" s="7" t="n">
        <f aca="false">IF(K88=0,"none",E88/K88)</f>
        <v>708.9375</v>
      </c>
      <c r="Q88" s="16" t="n">
        <v>0.112</v>
      </c>
      <c r="R88" s="16" t="n">
        <v>0.319</v>
      </c>
      <c r="S88" s="16" t="n">
        <v>0.088</v>
      </c>
      <c r="T88" s="6" t="n">
        <v>0</v>
      </c>
    </row>
    <row r="89" customFormat="false" ht="15" hidden="false" customHeight="false" outlineLevel="0" collapsed="false">
      <c r="A89" s="15" t="s">
        <v>327</v>
      </c>
      <c r="B89" s="15" t="s">
        <v>328</v>
      </c>
      <c r="C89" s="15" t="s">
        <v>75</v>
      </c>
      <c r="D89" s="6" t="n">
        <v>40148</v>
      </c>
      <c r="E89" s="6" t="n">
        <v>7343</v>
      </c>
      <c r="F89" s="16" t="n">
        <v>0.183</v>
      </c>
      <c r="G89" s="16" t="n">
        <v>0.076</v>
      </c>
      <c r="H89" s="16" t="n">
        <v>0.22</v>
      </c>
      <c r="I89" s="16" t="n">
        <v>0.054</v>
      </c>
      <c r="J89" s="6" t="n">
        <v>7</v>
      </c>
      <c r="K89" s="6" t="n">
        <v>7</v>
      </c>
      <c r="L89" s="7" t="n">
        <f aca="false">K89-J89</f>
        <v>0</v>
      </c>
      <c r="M89" s="10" t="n">
        <f aca="false">IF(J89=0,"",K89/J89-1)</f>
        <v>0</v>
      </c>
      <c r="N89" s="17" t="n">
        <f aca="false">K89/D89*10000</f>
        <v>1.74354886918402</v>
      </c>
      <c r="O89" s="7" t="n">
        <f aca="false">IF(K89=0,"none",D89/K89)</f>
        <v>5735.42857142857</v>
      </c>
      <c r="P89" s="7" t="n">
        <f aca="false">IF(K89=0,"none",E89/K89)</f>
        <v>1049</v>
      </c>
      <c r="Q89" s="16" t="n">
        <v>0.117</v>
      </c>
      <c r="R89" s="16" t="n">
        <v>0.357</v>
      </c>
      <c r="S89" s="16" t="n">
        <v>0.083</v>
      </c>
      <c r="T89" s="6" t="n">
        <v>0</v>
      </c>
    </row>
    <row r="90" customFormat="false" ht="15" hidden="false" customHeight="false" outlineLevel="0" collapsed="false">
      <c r="A90" s="15" t="s">
        <v>329</v>
      </c>
      <c r="B90" s="15" t="s">
        <v>330</v>
      </c>
      <c r="C90" s="15" t="s">
        <v>75</v>
      </c>
      <c r="D90" s="6" t="n">
        <v>118037</v>
      </c>
      <c r="E90" s="6" t="n">
        <v>20150</v>
      </c>
      <c r="F90" s="16" t="n">
        <v>0.171</v>
      </c>
      <c r="G90" s="16" t="n">
        <v>0.085</v>
      </c>
      <c r="H90" s="16" t="n">
        <v>0.254</v>
      </c>
      <c r="I90" s="16" t="n">
        <v>0.042</v>
      </c>
      <c r="J90" s="6" t="n">
        <v>13</v>
      </c>
      <c r="K90" s="6" t="n">
        <v>12</v>
      </c>
      <c r="L90" s="7" t="n">
        <f aca="false">K90-J90</f>
        <v>-1</v>
      </c>
      <c r="M90" s="10" t="n">
        <f aca="false">IF(J90=0,"",K90/J90-1)</f>
        <v>-0.0769230769230769</v>
      </c>
      <c r="N90" s="17" t="n">
        <f aca="false">K90/D90*10000</f>
        <v>1.0166303786101</v>
      </c>
      <c r="O90" s="7" t="n">
        <f aca="false">IF(K90=0,"none",D90/K90)</f>
        <v>9836.41666666667</v>
      </c>
      <c r="P90" s="7" t="n">
        <f aca="false">IF(K90=0,"none",E90/K90)</f>
        <v>1679.16666666667</v>
      </c>
      <c r="Q90" s="16" t="n">
        <v>0.112</v>
      </c>
      <c r="R90" s="16" t="n">
        <v>0.352</v>
      </c>
      <c r="S90" s="16" t="n">
        <v>0.082</v>
      </c>
      <c r="T90" s="6" t="n">
        <v>0</v>
      </c>
    </row>
    <row r="91" customFormat="false" ht="15" hidden="false" customHeight="false" outlineLevel="0" collapsed="false">
      <c r="A91" s="15" t="s">
        <v>331</v>
      </c>
      <c r="B91" s="15" t="s">
        <v>332</v>
      </c>
      <c r="C91" s="15" t="s">
        <v>75</v>
      </c>
      <c r="D91" s="6" t="n">
        <v>59678</v>
      </c>
      <c r="E91" s="6" t="n">
        <v>12622</v>
      </c>
      <c r="F91" s="16" t="n">
        <v>0.212</v>
      </c>
      <c r="G91" s="16" t="n">
        <v>0.07</v>
      </c>
      <c r="H91" s="16" t="n">
        <v>0.219</v>
      </c>
      <c r="I91" s="16" t="n">
        <v>0.051</v>
      </c>
      <c r="J91" s="6" t="n">
        <v>11</v>
      </c>
      <c r="K91" s="6" t="n">
        <v>7</v>
      </c>
      <c r="L91" s="7" t="n">
        <f aca="false">K91-J91</f>
        <v>-4</v>
      </c>
      <c r="M91" s="10" t="n">
        <f aca="false">IF(J91=0,"",K91/J91-1)</f>
        <v>-0.363636363636364</v>
      </c>
      <c r="N91" s="17" t="n">
        <f aca="false">K91/D91*10000</f>
        <v>1.17296156037401</v>
      </c>
      <c r="O91" s="7" t="n">
        <f aca="false">IF(K91=0,"none",D91/K91)</f>
        <v>8525.42857142857</v>
      </c>
      <c r="P91" s="7" t="n">
        <f aca="false">IF(K91=0,"none",E91/K91)</f>
        <v>1803.14285714286</v>
      </c>
      <c r="Q91" s="16" t="n">
        <v>0.102</v>
      </c>
      <c r="R91" s="16" t="n">
        <v>0.321</v>
      </c>
      <c r="S91" s="16" t="n">
        <v>0.077</v>
      </c>
      <c r="T91" s="6" t="n">
        <v>0</v>
      </c>
    </row>
    <row r="92" customFormat="false" ht="15" hidden="false" customHeight="false" outlineLevel="0" collapsed="false">
      <c r="A92" s="15" t="s">
        <v>333</v>
      </c>
      <c r="B92" s="15" t="s">
        <v>334</v>
      </c>
      <c r="C92" s="15" t="s">
        <v>75</v>
      </c>
      <c r="D92" s="6" t="n">
        <v>97942</v>
      </c>
      <c r="E92" s="6" t="n">
        <v>17900</v>
      </c>
      <c r="F92" s="16" t="n">
        <v>0.183</v>
      </c>
      <c r="G92" s="16" t="n">
        <v>0.041</v>
      </c>
      <c r="H92" s="16" t="n">
        <v>0.092</v>
      </c>
      <c r="I92" s="16" t="n">
        <v>0.035</v>
      </c>
      <c r="J92" s="6" t="n">
        <v>12</v>
      </c>
      <c r="K92" s="6" t="n">
        <v>9</v>
      </c>
      <c r="L92" s="7" t="n">
        <f aca="false">K92-J92</f>
        <v>-3</v>
      </c>
      <c r="M92" s="10" t="n">
        <f aca="false">IF(J92=0,"",K92/J92-1)</f>
        <v>-0.25</v>
      </c>
      <c r="N92" s="17" t="n">
        <f aca="false">K92/D92*10000</f>
        <v>0.918911192338323</v>
      </c>
      <c r="O92" s="7" t="n">
        <f aca="false">IF(K92=0,"none",D92/K92)</f>
        <v>10882.4444444444</v>
      </c>
      <c r="P92" s="7" t="n">
        <f aca="false">IF(K92=0,"none",E92/K92)</f>
        <v>1988.88888888889</v>
      </c>
      <c r="Q92" s="16" t="n">
        <v>0.097</v>
      </c>
      <c r="R92" s="16" t="n">
        <v>0.304</v>
      </c>
      <c r="S92" s="16" t="n">
        <v>0.058</v>
      </c>
      <c r="T92" s="6" t="n">
        <v>0</v>
      </c>
    </row>
    <row r="93" customFormat="false" ht="15" hidden="false" customHeight="false" outlineLevel="0" collapsed="false">
      <c r="A93" s="15" t="s">
        <v>335</v>
      </c>
      <c r="B93" s="15" t="s">
        <v>336</v>
      </c>
      <c r="C93" s="15" t="s">
        <v>75</v>
      </c>
      <c r="D93" s="6" t="n">
        <v>2360826</v>
      </c>
      <c r="E93" s="6" t="n">
        <v>389399</v>
      </c>
      <c r="F93" s="16" t="n">
        <v>0.165</v>
      </c>
      <c r="G93" s="16" t="n">
        <v>0.367</v>
      </c>
      <c r="H93" s="16" t="n">
        <v>0.2</v>
      </c>
      <c r="I93" s="16" t="n">
        <v>0.087</v>
      </c>
      <c r="J93" s="6" t="n">
        <v>830</v>
      </c>
      <c r="K93" s="6" t="n">
        <v>797</v>
      </c>
      <c r="L93" s="7" t="n">
        <f aca="false">K93-J93</f>
        <v>-33</v>
      </c>
      <c r="M93" s="10" t="n">
        <f aca="false">IF(J93=0,"",K93/J93-1)</f>
        <v>-0.0397590361445783</v>
      </c>
      <c r="N93" s="17" t="n">
        <f aca="false">K93/D93*10000</f>
        <v>3.37593706609466</v>
      </c>
      <c r="O93" s="7" t="n">
        <f aca="false">IF(K93=0,"none",D93/K93)</f>
        <v>2962.14052697616</v>
      </c>
      <c r="P93" s="7" t="n">
        <f aca="false">IF(K93=0,"none",E93/K93)</f>
        <v>488.580928481807</v>
      </c>
      <c r="Q93" s="16" t="n">
        <v>0.143</v>
      </c>
      <c r="R93" s="16" t="n">
        <v>0.336</v>
      </c>
      <c r="S93" s="16" t="n">
        <v>0.098</v>
      </c>
      <c r="T93" s="6" t="n">
        <v>0</v>
      </c>
    </row>
    <row r="94" customFormat="false" ht="15" hidden="false" customHeight="false" outlineLevel="0" collapsed="false">
      <c r="A94" s="15" t="s">
        <v>337</v>
      </c>
      <c r="B94" s="15" t="s">
        <v>338</v>
      </c>
      <c r="C94" s="15" t="s">
        <v>75</v>
      </c>
      <c r="D94" s="6" t="n">
        <v>160943</v>
      </c>
      <c r="E94" s="6" t="n">
        <v>28382</v>
      </c>
      <c r="F94" s="16" t="n">
        <v>0.176</v>
      </c>
      <c r="G94" s="16" t="n">
        <v>0.103</v>
      </c>
      <c r="H94" s="16" t="n">
        <v>0.173</v>
      </c>
      <c r="I94" s="16" t="n">
        <v>0.031</v>
      </c>
      <c r="J94" s="6" t="n">
        <v>36</v>
      </c>
      <c r="K94" s="6" t="n">
        <v>30</v>
      </c>
      <c r="L94" s="7" t="n">
        <f aca="false">K94-J94</f>
        <v>-6</v>
      </c>
      <c r="M94" s="10" t="n">
        <f aca="false">IF(J94=0,"",K94/J94-1)</f>
        <v>-0.166666666666667</v>
      </c>
      <c r="N94" s="17" t="n">
        <f aca="false">K94/D94*10000</f>
        <v>1.864013967678</v>
      </c>
      <c r="O94" s="7" t="n">
        <f aca="false">IF(K94=0,"none",D94/K94)</f>
        <v>5364.76666666667</v>
      </c>
      <c r="P94" s="7" t="n">
        <f aca="false">IF(K94=0,"none",E94/K94)</f>
        <v>946.066666666667</v>
      </c>
      <c r="Q94" s="16" t="n">
        <v>0.099</v>
      </c>
      <c r="R94" s="16" t="n">
        <v>0.321</v>
      </c>
      <c r="S94" s="16" t="n">
        <v>0.069</v>
      </c>
      <c r="T94" s="6" t="n">
        <v>0</v>
      </c>
    </row>
    <row r="95" customFormat="false" ht="15" hidden="false" customHeight="false" outlineLevel="0" collapsed="false">
      <c r="A95" s="15" t="s">
        <v>339</v>
      </c>
      <c r="B95" s="15" t="s">
        <v>340</v>
      </c>
      <c r="C95" s="15" t="s">
        <v>75</v>
      </c>
      <c r="D95" s="6" t="n">
        <v>492925</v>
      </c>
      <c r="E95" s="6" t="n">
        <v>81753</v>
      </c>
      <c r="F95" s="16" t="n">
        <v>0.166</v>
      </c>
      <c r="G95" s="16" t="n">
        <v>0.152</v>
      </c>
      <c r="H95" s="16" t="n">
        <v>0.165</v>
      </c>
      <c r="I95" s="16" t="n">
        <v>0.039</v>
      </c>
      <c r="J95" s="6" t="n">
        <v>120</v>
      </c>
      <c r="K95" s="6" t="n">
        <v>120</v>
      </c>
      <c r="L95" s="7" t="n">
        <f aca="false">K95-J95</f>
        <v>0</v>
      </c>
      <c r="M95" s="10" t="n">
        <f aca="false">IF(J95=0,"",K95/J95-1)</f>
        <v>0</v>
      </c>
      <c r="N95" s="17" t="n">
        <f aca="false">K95/D95*10000</f>
        <v>2.43444743115078</v>
      </c>
      <c r="O95" s="7" t="n">
        <f aca="false">IF(K95=0,"none",D95/K95)</f>
        <v>4107.70833333333</v>
      </c>
      <c r="P95" s="7" t="n">
        <f aca="false">IF(K95=0,"none",E95/K95)</f>
        <v>681.275</v>
      </c>
      <c r="Q95" s="16" t="n">
        <v>0.119</v>
      </c>
      <c r="R95" s="16" t="n">
        <v>0.341</v>
      </c>
      <c r="S95" s="16" t="n">
        <v>0.079</v>
      </c>
      <c r="T95" s="6" t="n">
        <v>0</v>
      </c>
    </row>
    <row r="96" customFormat="false" ht="15" hidden="false" customHeight="false" outlineLevel="0" collapsed="false">
      <c r="A96" s="15" t="s">
        <v>341</v>
      </c>
      <c r="B96" s="15" t="s">
        <v>342</v>
      </c>
      <c r="C96" s="15" t="s">
        <v>75</v>
      </c>
      <c r="D96" s="6" t="n">
        <v>337326</v>
      </c>
      <c r="E96" s="6" t="n">
        <v>52753</v>
      </c>
      <c r="F96" s="16" t="n">
        <v>0.156</v>
      </c>
      <c r="G96" s="16" t="n">
        <v>0.099</v>
      </c>
      <c r="H96" s="16" t="n">
        <v>0.233</v>
      </c>
      <c r="I96" s="16" t="n">
        <v>0.041</v>
      </c>
      <c r="J96" s="6" t="n">
        <v>69</v>
      </c>
      <c r="K96" s="6" t="n">
        <v>67</v>
      </c>
      <c r="L96" s="7" t="n">
        <f aca="false">K96-J96</f>
        <v>-2</v>
      </c>
      <c r="M96" s="10" t="n">
        <f aca="false">IF(J96=0,"",K96/J96-1)</f>
        <v>-0.0289855072463768</v>
      </c>
      <c r="N96" s="17" t="n">
        <f aca="false">K96/D96*10000</f>
        <v>1.98620918636571</v>
      </c>
      <c r="O96" s="7" t="n">
        <f aca="false">IF(K96=0,"none",D96/K96)</f>
        <v>5034.71641791045</v>
      </c>
      <c r="P96" s="7" t="n">
        <f aca="false">IF(K96=0,"none",E96/K96)</f>
        <v>787.358208955224</v>
      </c>
      <c r="Q96" s="16" t="n">
        <v>0.113</v>
      </c>
      <c r="R96" s="16" t="n">
        <v>0.323</v>
      </c>
      <c r="S96" s="16" t="n">
        <v>0.083</v>
      </c>
      <c r="T96" s="6" t="n">
        <v>0</v>
      </c>
    </row>
    <row r="97" customFormat="false" ht="15" hidden="false" customHeight="false" outlineLevel="0" collapsed="false">
      <c r="A97" s="15" t="s">
        <v>343</v>
      </c>
      <c r="B97" s="15" t="s">
        <v>344</v>
      </c>
      <c r="C97" s="15" t="s">
        <v>75</v>
      </c>
      <c r="D97" s="6" t="n">
        <v>236328</v>
      </c>
      <c r="E97" s="6" t="n">
        <v>44772</v>
      </c>
      <c r="F97" s="16" t="n">
        <v>0.189</v>
      </c>
      <c r="G97" s="16" t="n">
        <v>0.048</v>
      </c>
      <c r="H97" s="16" t="n">
        <v>0.111</v>
      </c>
      <c r="I97" s="16" t="n">
        <v>0.028</v>
      </c>
      <c r="J97" s="6" t="n">
        <v>41</v>
      </c>
      <c r="K97" s="6" t="n">
        <v>38</v>
      </c>
      <c r="L97" s="7" t="n">
        <f aca="false">K97-J97</f>
        <v>-3</v>
      </c>
      <c r="M97" s="10" t="n">
        <f aca="false">IF(J97=0,"",K97/J97-1)</f>
        <v>-0.073170731707317</v>
      </c>
      <c r="N97" s="17" t="n">
        <f aca="false">K97/D97*10000</f>
        <v>1.6079347347754</v>
      </c>
      <c r="O97" s="7" t="n">
        <f aca="false">IF(K97=0,"none",D97/K97)</f>
        <v>6219.15789473684</v>
      </c>
      <c r="P97" s="7" t="n">
        <f aca="false">IF(K97=0,"none",E97/K97)</f>
        <v>1178.21052631579</v>
      </c>
      <c r="Q97" s="16" t="n">
        <v>0.096</v>
      </c>
      <c r="R97" s="16" t="n">
        <v>0.323</v>
      </c>
      <c r="S97" s="16" t="n">
        <v>0.055</v>
      </c>
      <c r="T97" s="6" t="n">
        <v>0</v>
      </c>
    </row>
    <row r="98" customFormat="false" ht="15" hidden="false" customHeight="false" outlineLevel="0" collapsed="false">
      <c r="A98" s="15" t="s">
        <v>345</v>
      </c>
      <c r="B98" s="15" t="s">
        <v>346</v>
      </c>
      <c r="C98" s="15" t="s">
        <v>75</v>
      </c>
      <c r="D98" s="6" t="n">
        <v>159447</v>
      </c>
      <c r="E98" s="6" t="n">
        <v>27851</v>
      </c>
      <c r="F98" s="16" t="n">
        <v>0.175</v>
      </c>
      <c r="G98" s="16" t="n">
        <v>0.122</v>
      </c>
      <c r="H98" s="16" t="n">
        <v>0.183</v>
      </c>
      <c r="I98" s="16" t="n">
        <v>0.039</v>
      </c>
      <c r="J98" s="6" t="n">
        <v>28</v>
      </c>
      <c r="K98" s="6" t="n">
        <v>26</v>
      </c>
      <c r="L98" s="7" t="n">
        <f aca="false">K98-J98</f>
        <v>-2</v>
      </c>
      <c r="M98" s="10" t="n">
        <f aca="false">IF(J98=0,"",K98/J98-1)</f>
        <v>-0.0714285714285714</v>
      </c>
      <c r="N98" s="17" t="n">
        <f aca="false">K98/D98*10000</f>
        <v>1.63063588527849</v>
      </c>
      <c r="O98" s="7" t="n">
        <f aca="false">IF(K98=0,"none",D98/K98)</f>
        <v>6132.57692307692</v>
      </c>
      <c r="P98" s="7" t="n">
        <f aca="false">IF(K98=0,"none",E98/K98)</f>
        <v>1071.19230769231</v>
      </c>
      <c r="Q98" s="16" t="n">
        <v>0.102</v>
      </c>
      <c r="R98" s="16" t="n">
        <v>0.33</v>
      </c>
      <c r="S98" s="16" t="n">
        <v>0.078</v>
      </c>
      <c r="T98" s="6" t="n">
        <v>0</v>
      </c>
    </row>
    <row r="99" customFormat="false" ht="15" hidden="false" customHeight="false" outlineLevel="0" collapsed="false">
      <c r="A99" s="15" t="s">
        <v>347</v>
      </c>
      <c r="B99" s="15" t="s">
        <v>348</v>
      </c>
      <c r="C99" s="15" t="s">
        <v>75</v>
      </c>
      <c r="D99" s="6" t="n">
        <v>29970</v>
      </c>
      <c r="E99" s="6" t="n">
        <v>6905</v>
      </c>
      <c r="F99" s="16" t="n">
        <v>0.23</v>
      </c>
      <c r="G99" s="16" t="n">
        <v>0.063</v>
      </c>
      <c r="H99" s="16" t="n">
        <v>0.18</v>
      </c>
      <c r="I99" s="16" t="n">
        <v>0.042</v>
      </c>
      <c r="J99" s="6" t="n">
        <v>3</v>
      </c>
      <c r="K99" s="6" t="n">
        <v>3</v>
      </c>
      <c r="L99" s="7" t="n">
        <f aca="false">K99-J99</f>
        <v>0</v>
      </c>
      <c r="M99" s="10" t="n">
        <f aca="false">IF(J99=0,"",K99/J99-1)</f>
        <v>0</v>
      </c>
      <c r="N99" s="17" t="n">
        <f aca="false">K99/D99*10000</f>
        <v>1.001001001001</v>
      </c>
      <c r="O99" s="7" t="n">
        <f aca="false">IF(K99=0,"none",D99/K99)</f>
        <v>9990</v>
      </c>
      <c r="P99" s="7" t="n">
        <f aca="false">IF(K99=0,"none",E99/K99)</f>
        <v>2301.66666666667</v>
      </c>
      <c r="Q99" s="16" t="n">
        <v>0.113</v>
      </c>
      <c r="R99" s="16" t="n">
        <v>0.368</v>
      </c>
      <c r="S99" s="16" t="n">
        <v>0.069</v>
      </c>
      <c r="T99" s="6" t="n">
        <v>0</v>
      </c>
    </row>
    <row r="100" customFormat="false" ht="15" hidden="false" customHeight="false" outlineLevel="0" collapsed="false">
      <c r="A100" s="15" t="s">
        <v>349</v>
      </c>
      <c r="B100" s="15" t="s">
        <v>350</v>
      </c>
      <c r="C100" s="15" t="s">
        <v>75</v>
      </c>
      <c r="D100" s="6" t="n">
        <v>17855</v>
      </c>
      <c r="E100" s="6" t="n">
        <v>3939</v>
      </c>
      <c r="F100" s="16" t="n">
        <v>0.221</v>
      </c>
      <c r="G100" s="16" t="n">
        <v>0.059</v>
      </c>
      <c r="H100" s="16" t="n">
        <v>0.251</v>
      </c>
      <c r="I100" s="16" t="n">
        <v>0.044</v>
      </c>
      <c r="J100" s="6" t="n">
        <v>2</v>
      </c>
      <c r="K100" s="6" t="n">
        <v>2</v>
      </c>
      <c r="L100" s="7" t="n">
        <f aca="false">K100-J100</f>
        <v>0</v>
      </c>
      <c r="M100" s="10" t="n">
        <f aca="false">IF(J100=0,"",K100/J100-1)</f>
        <v>0</v>
      </c>
      <c r="N100" s="17" t="n">
        <f aca="false">K100/D100*10000</f>
        <v>1.12013441612994</v>
      </c>
      <c r="O100" s="7" t="n">
        <f aca="false">IF(K100=0,"none",D100/K100)</f>
        <v>8927.5</v>
      </c>
      <c r="P100" s="7" t="n">
        <f aca="false">IF(K100=0,"none",E100/K100)</f>
        <v>1969.5</v>
      </c>
      <c r="Q100" s="16" t="n">
        <v>0.124</v>
      </c>
      <c r="R100" s="16" t="n">
        <v>0.378</v>
      </c>
      <c r="S100" s="16" t="n">
        <v>0.075</v>
      </c>
      <c r="T100" s="6" t="n">
        <v>0</v>
      </c>
    </row>
    <row r="101" customFormat="false" ht="15" hidden="false" customHeight="false" outlineLevel="0" collapsed="false">
      <c r="A101" s="15" t="s">
        <v>351</v>
      </c>
      <c r="B101" s="15" t="s">
        <v>352</v>
      </c>
      <c r="C101" s="15" t="s">
        <v>75</v>
      </c>
      <c r="D101" s="6" t="n">
        <v>33651</v>
      </c>
      <c r="E101" s="6" t="n">
        <v>6788</v>
      </c>
      <c r="F101" s="16" t="n">
        <v>0.202</v>
      </c>
      <c r="G101" s="16" t="n">
        <v>0.087</v>
      </c>
      <c r="H101" s="16" t="n">
        <v>0.216</v>
      </c>
      <c r="I101" s="16" t="n">
        <v>0.086</v>
      </c>
      <c r="J101" s="6" t="n">
        <v>5</v>
      </c>
      <c r="K101" s="6" t="n">
        <v>5</v>
      </c>
      <c r="L101" s="7" t="n">
        <f aca="false">K101-J101</f>
        <v>0</v>
      </c>
      <c r="M101" s="10" t="n">
        <f aca="false">IF(J101=0,"",K101/J101-1)</f>
        <v>0</v>
      </c>
      <c r="N101" s="17" t="n">
        <f aca="false">K101/D101*10000</f>
        <v>1.48583994532109</v>
      </c>
      <c r="O101" s="7" t="n">
        <f aca="false">IF(K101=0,"none",D101/K101)</f>
        <v>6730.2</v>
      </c>
      <c r="P101" s="7" t="n">
        <f aca="false">IF(K101=0,"none",E101/K101)</f>
        <v>1357.6</v>
      </c>
      <c r="Q101" s="16" t="n">
        <v>0.116</v>
      </c>
      <c r="R101" s="16" t="n">
        <v>0.364</v>
      </c>
      <c r="S101" s="16" t="n">
        <v>0.08</v>
      </c>
      <c r="T101" s="6" t="n">
        <v>0</v>
      </c>
    </row>
    <row r="102" customFormat="false" ht="15" hidden="false" customHeight="false" outlineLevel="0" collapsed="false">
      <c r="A102" s="15" t="s">
        <v>353</v>
      </c>
      <c r="B102" s="15" t="s">
        <v>354</v>
      </c>
      <c r="C102" s="15" t="s">
        <v>75</v>
      </c>
      <c r="D102" s="6" t="n">
        <v>108670</v>
      </c>
      <c r="E102" s="6" t="n">
        <v>19575</v>
      </c>
      <c r="F102" s="16" t="n">
        <v>0.18</v>
      </c>
      <c r="G102" s="16" t="n">
        <v>0.104</v>
      </c>
      <c r="H102" s="16" t="n">
        <v>0.276</v>
      </c>
      <c r="I102" s="16" t="n">
        <v>0.06</v>
      </c>
      <c r="J102" s="6" t="n">
        <v>18</v>
      </c>
      <c r="K102" s="6" t="n">
        <v>13</v>
      </c>
      <c r="L102" s="7" t="n">
        <f aca="false">K102-J102</f>
        <v>-5</v>
      </c>
      <c r="M102" s="10" t="n">
        <f aca="false">IF(J102=0,"",K102/J102-1)</f>
        <v>-0.277777777777778</v>
      </c>
      <c r="N102" s="17" t="n">
        <f aca="false">K102/D102*10000</f>
        <v>1.19628232262814</v>
      </c>
      <c r="O102" s="7" t="n">
        <f aca="false">IF(K102=0,"none",D102/K102)</f>
        <v>8359.23076923077</v>
      </c>
      <c r="P102" s="7" t="n">
        <f aca="false">IF(K102=0,"none",E102/K102)</f>
        <v>1505.76923076923</v>
      </c>
      <c r="Q102" s="16" t="n">
        <v>0.119</v>
      </c>
      <c r="R102" s="16" t="n">
        <v>0.365</v>
      </c>
      <c r="S102" s="16" t="n">
        <v>0.086</v>
      </c>
      <c r="T102" s="6" t="n">
        <v>0</v>
      </c>
    </row>
    <row r="103" customFormat="false" ht="15" hidden="false" customHeight="false" outlineLevel="0" collapsed="false">
      <c r="A103" s="15" t="s">
        <v>355</v>
      </c>
      <c r="B103" s="15" t="s">
        <v>356</v>
      </c>
      <c r="C103" s="15" t="s">
        <v>75</v>
      </c>
      <c r="D103" s="6" t="n">
        <v>93584</v>
      </c>
      <c r="E103" s="6" t="n">
        <v>18690</v>
      </c>
      <c r="F103" s="16" t="n">
        <v>0.2</v>
      </c>
      <c r="G103" s="16" t="n">
        <v>0.094</v>
      </c>
      <c r="H103" s="16" t="n">
        <v>0.235</v>
      </c>
      <c r="I103" s="16" t="n">
        <v>0.05</v>
      </c>
      <c r="J103" s="6" t="n">
        <v>13</v>
      </c>
      <c r="K103" s="6" t="n">
        <v>10</v>
      </c>
      <c r="L103" s="7" t="n">
        <f aca="false">K103-J103</f>
        <v>-3</v>
      </c>
      <c r="M103" s="10" t="n">
        <f aca="false">IF(J103=0,"",K103/J103-1)</f>
        <v>-0.230769230769231</v>
      </c>
      <c r="N103" s="17" t="n">
        <f aca="false">K103/D103*10000</f>
        <v>1.06855872798769</v>
      </c>
      <c r="O103" s="7" t="n">
        <f aca="false">IF(K103=0,"none",D103/K103)</f>
        <v>9358.4</v>
      </c>
      <c r="P103" s="7" t="n">
        <f aca="false">IF(K103=0,"none",E103/K103)</f>
        <v>1869</v>
      </c>
      <c r="Q103" s="16" t="n">
        <v>0.115</v>
      </c>
      <c r="R103" s="16" t="n">
        <v>0.357</v>
      </c>
      <c r="S103" s="16" t="n">
        <v>0.075</v>
      </c>
      <c r="T103" s="6" t="n">
        <v>0</v>
      </c>
    </row>
    <row r="104" customFormat="false" ht="15" hidden="false" customHeight="false" outlineLevel="0" collapsed="false">
      <c r="A104" s="15" t="s">
        <v>357</v>
      </c>
      <c r="B104" s="15" t="s">
        <v>358</v>
      </c>
      <c r="C104" s="15" t="s">
        <v>75</v>
      </c>
      <c r="D104" s="6" t="n">
        <v>1524486</v>
      </c>
      <c r="E104" s="6" t="n">
        <v>263382</v>
      </c>
      <c r="F104" s="16" t="n">
        <v>0.173</v>
      </c>
      <c r="G104" s="16" t="n">
        <v>0.052</v>
      </c>
      <c r="H104" s="16" t="n">
        <v>0.105</v>
      </c>
      <c r="I104" s="16" t="n">
        <v>0.044</v>
      </c>
      <c r="J104" s="6" t="n">
        <v>323</v>
      </c>
      <c r="K104" s="6" t="n">
        <v>297</v>
      </c>
      <c r="L104" s="7" t="n">
        <f aca="false">K104-J104</f>
        <v>-26</v>
      </c>
      <c r="M104" s="10" t="n">
        <f aca="false">IF(J104=0,"",K104/J104-1)</f>
        <v>-0.0804953560371517</v>
      </c>
      <c r="N104" s="17" t="n">
        <f aca="false">K104/D104*10000</f>
        <v>1.94819762201818</v>
      </c>
      <c r="O104" s="7" t="n">
        <f aca="false">IF(K104=0,"none",D104/K104)</f>
        <v>5132.9494949495</v>
      </c>
      <c r="P104" s="7" t="n">
        <f aca="false">IF(K104=0,"none",E104/K104)</f>
        <v>886.808080808081</v>
      </c>
      <c r="Q104" s="16" t="n">
        <v>0.1</v>
      </c>
      <c r="R104" s="16" t="n">
        <v>0.317</v>
      </c>
      <c r="S104" s="16" t="n">
        <v>0.065</v>
      </c>
      <c r="T104" s="6" t="n">
        <v>0</v>
      </c>
    </row>
    <row r="105" customFormat="false" ht="15" hidden="false" customHeight="false" outlineLevel="0" collapsed="false">
      <c r="A105" s="15" t="s">
        <v>359</v>
      </c>
      <c r="B105" s="15" t="s">
        <v>360</v>
      </c>
      <c r="C105" s="15" t="s">
        <v>75</v>
      </c>
      <c r="D105" s="6" t="n">
        <v>78725</v>
      </c>
      <c r="E105" s="6" t="n">
        <v>14901</v>
      </c>
      <c r="F105" s="16" t="n">
        <v>0.189</v>
      </c>
      <c r="G105" s="16" t="n">
        <v>0.099</v>
      </c>
      <c r="H105" s="16" t="n">
        <v>0.242</v>
      </c>
      <c r="I105" s="16" t="n">
        <v>0.056</v>
      </c>
      <c r="J105" s="6" t="n">
        <v>11</v>
      </c>
      <c r="K105" s="6" t="n">
        <v>11</v>
      </c>
      <c r="L105" s="7" t="n">
        <f aca="false">K105-J105</f>
        <v>0</v>
      </c>
      <c r="M105" s="10" t="n">
        <f aca="false">IF(J105=0,"",K105/J105-1)</f>
        <v>0</v>
      </c>
      <c r="N105" s="17" t="n">
        <f aca="false">K105/D105*10000</f>
        <v>1.39726897427755</v>
      </c>
      <c r="O105" s="7" t="n">
        <f aca="false">IF(K105=0,"none",D105/K105)</f>
        <v>7156.81818181818</v>
      </c>
      <c r="P105" s="7" t="n">
        <f aca="false">IF(K105=0,"none",E105/K105)</f>
        <v>1354.63636363636</v>
      </c>
      <c r="Q105" s="16" t="n">
        <v>0.121</v>
      </c>
      <c r="R105" s="16" t="n">
        <v>0.358</v>
      </c>
      <c r="S105" s="16" t="n">
        <v>0.087</v>
      </c>
      <c r="T105" s="6" t="n">
        <v>0</v>
      </c>
    </row>
    <row r="106" customFormat="false" ht="15" hidden="false" customHeight="false" outlineLevel="0" collapsed="false">
      <c r="A106" s="15" t="s">
        <v>361</v>
      </c>
      <c r="B106" s="15" t="s">
        <v>362</v>
      </c>
      <c r="C106" s="15" t="s">
        <v>75</v>
      </c>
      <c r="D106" s="6" t="n">
        <v>48344</v>
      </c>
      <c r="E106" s="6" t="n">
        <v>10080</v>
      </c>
      <c r="F106" s="16" t="n">
        <v>0.209</v>
      </c>
      <c r="G106" s="16" t="n">
        <v>0.065</v>
      </c>
      <c r="H106" s="16" t="n">
        <v>0.187</v>
      </c>
      <c r="I106" s="16" t="n">
        <v>0.034</v>
      </c>
      <c r="J106" s="6" t="n">
        <v>7</v>
      </c>
      <c r="K106" s="6" t="n">
        <v>5</v>
      </c>
      <c r="L106" s="7" t="n">
        <f aca="false">K106-J106</f>
        <v>-2</v>
      </c>
      <c r="M106" s="10" t="n">
        <f aca="false">IF(J106=0,"",K106/J106-1)</f>
        <v>-0.285714285714286</v>
      </c>
      <c r="N106" s="17" t="n">
        <f aca="false">K106/D106*10000</f>
        <v>1.03425450934966</v>
      </c>
      <c r="O106" s="7" t="n">
        <f aca="false">IF(K106=0,"none",D106/K106)</f>
        <v>9668.8</v>
      </c>
      <c r="P106" s="7" t="n">
        <f aca="false">IF(K106=0,"none",E106/K106)</f>
        <v>2016</v>
      </c>
      <c r="Q106" s="16" t="n">
        <v>0.113</v>
      </c>
      <c r="R106" s="16" t="n">
        <v>0.369</v>
      </c>
      <c r="S106" s="16" t="n">
        <v>0.07</v>
      </c>
      <c r="T106" s="6" t="n">
        <v>0</v>
      </c>
    </row>
    <row r="107" customFormat="false" ht="15" hidden="false" customHeight="false" outlineLevel="0" collapsed="false">
      <c r="A107" s="15" t="s">
        <v>363</v>
      </c>
      <c r="B107" s="15" t="s">
        <v>364</v>
      </c>
      <c r="C107" s="15" t="s">
        <v>75</v>
      </c>
      <c r="D107" s="6" t="n">
        <v>102555</v>
      </c>
      <c r="E107" s="6" t="n">
        <v>16079</v>
      </c>
      <c r="F107" s="16" t="n">
        <v>0.157</v>
      </c>
      <c r="G107" s="16" t="n">
        <v>0.133</v>
      </c>
      <c r="H107" s="16" t="n">
        <v>0.227</v>
      </c>
      <c r="I107" s="16" t="n">
        <v>0.033</v>
      </c>
      <c r="J107" s="6" t="n">
        <v>14</v>
      </c>
      <c r="K107" s="6" t="n">
        <v>12</v>
      </c>
      <c r="L107" s="7" t="n">
        <f aca="false">K107-J107</f>
        <v>-2</v>
      </c>
      <c r="M107" s="10" t="n">
        <f aca="false">IF(J107=0,"",K107/J107-1)</f>
        <v>-0.142857142857143</v>
      </c>
      <c r="N107" s="17" t="n">
        <f aca="false">K107/D107*10000</f>
        <v>1.1701038467164</v>
      </c>
      <c r="O107" s="7" t="n">
        <f aca="false">IF(K107=0,"none",D107/K107)</f>
        <v>8546.25</v>
      </c>
      <c r="P107" s="7" t="n">
        <f aca="false">IF(K107=0,"none",E107/K107)</f>
        <v>1339.91666666667</v>
      </c>
      <c r="Q107" s="16" t="n">
        <v>0.076</v>
      </c>
      <c r="R107" s="16" t="n">
        <v>0.261</v>
      </c>
      <c r="S107" s="16" t="n">
        <v>0.068</v>
      </c>
      <c r="T107" s="6" t="n">
        <v>0</v>
      </c>
    </row>
    <row r="108" customFormat="false" ht="15" hidden="false" customHeight="false" outlineLevel="0" collapsed="false">
      <c r="A108" s="15" t="s">
        <v>365</v>
      </c>
      <c r="B108" s="15" t="s">
        <v>366</v>
      </c>
      <c r="C108" s="15" t="s">
        <v>75</v>
      </c>
      <c r="D108" s="6" t="n">
        <v>182153</v>
      </c>
      <c r="E108" s="6" t="n">
        <v>37270</v>
      </c>
      <c r="F108" s="16" t="n">
        <v>0.205</v>
      </c>
      <c r="G108" s="16" t="n">
        <v>0.072</v>
      </c>
      <c r="H108" s="16" t="n">
        <v>0.206</v>
      </c>
      <c r="I108" s="16" t="n">
        <v>0.062</v>
      </c>
      <c r="J108" s="6" t="n">
        <v>38</v>
      </c>
      <c r="K108" s="6" t="n">
        <v>33</v>
      </c>
      <c r="L108" s="7" t="n">
        <f aca="false">K108-J108</f>
        <v>-5</v>
      </c>
      <c r="M108" s="10" t="n">
        <f aca="false">IF(J108=0,"",K108/J108-1)</f>
        <v>-0.131578947368421</v>
      </c>
      <c r="N108" s="17" t="n">
        <f aca="false">K108/D108*10000</f>
        <v>1.81166382107349</v>
      </c>
      <c r="O108" s="7" t="n">
        <f aca="false">IF(K108=0,"none",D108/K108)</f>
        <v>5519.78787878788</v>
      </c>
      <c r="P108" s="7" t="n">
        <f aca="false">IF(K108=0,"none",E108/K108)</f>
        <v>1129.39393939394</v>
      </c>
      <c r="Q108" s="16" t="n">
        <v>0.109</v>
      </c>
      <c r="R108" s="16" t="n">
        <v>0.37</v>
      </c>
      <c r="S108" s="16" t="n">
        <v>0.074</v>
      </c>
      <c r="T108" s="6" t="n">
        <v>0</v>
      </c>
    </row>
    <row r="109" customFormat="false" ht="15" hidden="false" customHeight="false" outlineLevel="0" collapsed="false">
      <c r="A109" s="15" t="s">
        <v>367</v>
      </c>
      <c r="B109" s="15" t="s">
        <v>259</v>
      </c>
      <c r="C109" s="15" t="s">
        <v>75</v>
      </c>
      <c r="D109" s="6" t="n">
        <v>65684</v>
      </c>
      <c r="E109" s="6" t="n">
        <v>15130</v>
      </c>
      <c r="F109" s="16" t="n">
        <v>0.23</v>
      </c>
      <c r="G109" s="16" t="n">
        <v>0.085</v>
      </c>
      <c r="H109" s="16" t="n">
        <v>0.165</v>
      </c>
      <c r="I109" s="16" t="n">
        <v>0.038</v>
      </c>
      <c r="J109" s="6" t="n">
        <v>23</v>
      </c>
      <c r="K109" s="6" t="n">
        <v>22</v>
      </c>
      <c r="L109" s="7" t="n">
        <f aca="false">K109-J109</f>
        <v>-1</v>
      </c>
      <c r="M109" s="10" t="n">
        <f aca="false">IF(J109=0,"",K109/J109-1)</f>
        <v>-0.0434782608695652</v>
      </c>
      <c r="N109" s="17" t="n">
        <f aca="false">K109/D109*10000</f>
        <v>3.3493697095183</v>
      </c>
      <c r="O109" s="7" t="n">
        <f aca="false">IF(K109=0,"none",D109/K109)</f>
        <v>2985.63636363636</v>
      </c>
      <c r="P109" s="7" t="n">
        <f aca="false">IF(K109=0,"none",E109/K109)</f>
        <v>687.727272727273</v>
      </c>
      <c r="Q109" s="16" t="n">
        <v>0.112</v>
      </c>
      <c r="R109" s="16" t="n">
        <v>0.358</v>
      </c>
      <c r="S109" s="16" t="n">
        <v>0.063</v>
      </c>
      <c r="T109" s="6" t="n">
        <v>0</v>
      </c>
    </row>
    <row r="110" customFormat="false" ht="15" hidden="false" customHeight="false" outlineLevel="0" collapsed="false">
      <c r="A110" s="15" t="s">
        <v>368</v>
      </c>
      <c r="B110" s="15" t="s">
        <v>215</v>
      </c>
      <c r="C110" s="15" t="s">
        <v>75</v>
      </c>
      <c r="D110" s="6" t="n">
        <v>61310</v>
      </c>
      <c r="E110" s="6" t="n">
        <v>12515</v>
      </c>
      <c r="F110" s="16" t="n">
        <v>0.204</v>
      </c>
      <c r="G110" s="16" t="n">
        <v>0.088</v>
      </c>
      <c r="H110" s="16" t="n">
        <v>0.19</v>
      </c>
      <c r="I110" s="16" t="n">
        <v>0.055</v>
      </c>
      <c r="J110" s="6" t="n">
        <v>16</v>
      </c>
      <c r="K110" s="6" t="n">
        <v>15</v>
      </c>
      <c r="L110" s="7" t="n">
        <f aca="false">K110-J110</f>
        <v>-1</v>
      </c>
      <c r="M110" s="10" t="n">
        <f aca="false">IF(J110=0,"",K110/J110-1)</f>
        <v>-0.0625</v>
      </c>
      <c r="N110" s="17" t="n">
        <f aca="false">K110/D110*10000</f>
        <v>2.44658293916164</v>
      </c>
      <c r="O110" s="7" t="n">
        <f aca="false">IF(K110=0,"none",D110/K110)</f>
        <v>4087.33333333333</v>
      </c>
      <c r="P110" s="7" t="n">
        <f aca="false">IF(K110=0,"none",E110/K110)</f>
        <v>834.333333333333</v>
      </c>
      <c r="Q110" s="16" t="n">
        <v>0.112</v>
      </c>
      <c r="R110" s="16" t="n">
        <v>0.362</v>
      </c>
      <c r="S110" s="16" t="n">
        <v>0.072</v>
      </c>
      <c r="T110" s="6" t="n">
        <v>0</v>
      </c>
    </row>
    <row r="111" customFormat="false" ht="15" hidden="false" customHeight="false" outlineLevel="0" collapsed="false">
      <c r="A111" s="15" t="s">
        <v>369</v>
      </c>
      <c r="B111" s="15" t="s">
        <v>370</v>
      </c>
      <c r="C111" s="15" t="s">
        <v>75</v>
      </c>
      <c r="D111" s="6" t="n">
        <v>91324</v>
      </c>
      <c r="E111" s="6" t="n">
        <v>18006</v>
      </c>
      <c r="F111" s="16" t="n">
        <v>0.197</v>
      </c>
      <c r="G111" s="16" t="n">
        <v>0.073</v>
      </c>
      <c r="H111" s="16" t="n">
        <v>0.184</v>
      </c>
      <c r="I111" s="16" t="n">
        <v>0.058</v>
      </c>
      <c r="J111" s="6" t="n">
        <v>17</v>
      </c>
      <c r="K111" s="6" t="n">
        <v>16</v>
      </c>
      <c r="L111" s="7" t="n">
        <f aca="false">K111-J111</f>
        <v>-1</v>
      </c>
      <c r="M111" s="10" t="n">
        <f aca="false">IF(J111=0,"",K111/J111-1)</f>
        <v>-0.0588235294117647</v>
      </c>
      <c r="N111" s="17" t="n">
        <f aca="false">K111/D111*10000</f>
        <v>1.75200385440848</v>
      </c>
      <c r="O111" s="7" t="n">
        <f aca="false">IF(K111=0,"none",D111/K111)</f>
        <v>5707.75</v>
      </c>
      <c r="P111" s="7" t="n">
        <f aca="false">IF(K111=0,"none",E111/K111)</f>
        <v>1125.375</v>
      </c>
      <c r="Q111" s="16" t="n">
        <v>0.112</v>
      </c>
      <c r="R111" s="16" t="n">
        <v>0.34</v>
      </c>
      <c r="S111" s="16" t="n">
        <v>0.071</v>
      </c>
      <c r="T111" s="6" t="n">
        <v>0</v>
      </c>
    </row>
    <row r="112" customFormat="false" ht="15" hidden="false" customHeight="false" outlineLevel="0" collapsed="false">
      <c r="A112" s="15" t="s">
        <v>371</v>
      </c>
      <c r="B112" s="15" t="s">
        <v>372</v>
      </c>
      <c r="C112" s="15" t="s">
        <v>75</v>
      </c>
      <c r="D112" s="6" t="n">
        <v>997904</v>
      </c>
      <c r="E112" s="6" t="n">
        <v>174395</v>
      </c>
      <c r="F112" s="16" t="n">
        <v>0.175</v>
      </c>
      <c r="G112" s="16" t="n">
        <v>0.142</v>
      </c>
      <c r="H112" s="16" t="n">
        <v>0.136</v>
      </c>
      <c r="I112" s="16" t="n">
        <v>0.049</v>
      </c>
      <c r="J112" s="6" t="n">
        <v>252</v>
      </c>
      <c r="K112" s="6" t="n">
        <v>245</v>
      </c>
      <c r="L112" s="7" t="n">
        <f aca="false">K112-J112</f>
        <v>-7</v>
      </c>
      <c r="M112" s="10" t="n">
        <f aca="false">IF(J112=0,"",K112/J112-1)</f>
        <v>-0.0277777777777778</v>
      </c>
      <c r="N112" s="17" t="n">
        <f aca="false">K112/D112*10000</f>
        <v>2.45514598598663</v>
      </c>
      <c r="O112" s="7" t="n">
        <f aca="false">IF(K112=0,"none",D112/K112)</f>
        <v>4073.07755102041</v>
      </c>
      <c r="P112" s="7" t="n">
        <f aca="false">IF(K112=0,"none",E112/K112)</f>
        <v>711.816326530612</v>
      </c>
      <c r="Q112" s="16" t="n">
        <v>0.105</v>
      </c>
      <c r="R112" s="16" t="n">
        <v>0.298</v>
      </c>
      <c r="S112" s="16" t="n">
        <v>0.066</v>
      </c>
      <c r="T112" s="6" t="n">
        <v>0</v>
      </c>
    </row>
    <row r="113" customFormat="false" ht="15" hidden="false" customHeight="false" outlineLevel="0" collapsed="false">
      <c r="A113" s="15" t="s">
        <v>373</v>
      </c>
      <c r="B113" s="15" t="s">
        <v>374</v>
      </c>
      <c r="C113" s="15" t="s">
        <v>75</v>
      </c>
      <c r="D113" s="6" t="n">
        <v>40338</v>
      </c>
      <c r="E113" s="6" t="n">
        <v>7716</v>
      </c>
      <c r="F113" s="16" t="n">
        <v>0.191</v>
      </c>
      <c r="G113" s="16" t="n">
        <v>0.077</v>
      </c>
      <c r="H113" s="16" t="n">
        <v>0.184</v>
      </c>
      <c r="I113" s="16" t="n">
        <v>0.043</v>
      </c>
      <c r="J113" s="6" t="n">
        <v>5</v>
      </c>
      <c r="K113" s="6" t="n">
        <v>3</v>
      </c>
      <c r="L113" s="7" t="n">
        <f aca="false">K113-J113</f>
        <v>-2</v>
      </c>
      <c r="M113" s="10" t="n">
        <f aca="false">IF(J113=0,"",K113/J113-1)</f>
        <v>-0.4</v>
      </c>
      <c r="N113" s="17" t="n">
        <f aca="false">K113/D113*10000</f>
        <v>0.743715603153354</v>
      </c>
      <c r="O113" s="7" t="n">
        <f aca="false">IF(K113=0,"none",D113/K113)</f>
        <v>13446</v>
      </c>
      <c r="P113" s="7" t="n">
        <f aca="false">IF(K113=0,"none",E113/K113)</f>
        <v>2572</v>
      </c>
      <c r="Q113" s="16" t="n">
        <v>0.112</v>
      </c>
      <c r="R113" s="16" t="n">
        <v>0.366</v>
      </c>
      <c r="S113" s="16" t="n">
        <v>0.078</v>
      </c>
      <c r="T113" s="6" t="n">
        <v>0</v>
      </c>
    </row>
    <row r="114" customFormat="false" ht="15" hidden="false" customHeight="false" outlineLevel="0" collapsed="false">
      <c r="A114" s="15" t="s">
        <v>375</v>
      </c>
      <c r="B114" s="15" t="s">
        <v>376</v>
      </c>
      <c r="C114" s="15" t="s">
        <v>75</v>
      </c>
      <c r="D114" s="6" t="n">
        <v>24713</v>
      </c>
      <c r="E114" s="6" t="n">
        <v>5309</v>
      </c>
      <c r="F114" s="16" t="n">
        <v>0.215</v>
      </c>
      <c r="G114" s="16" t="n">
        <v>0.13</v>
      </c>
      <c r="H114" s="16" t="n">
        <v>0.221</v>
      </c>
      <c r="I114" s="16" t="n">
        <v>0.176</v>
      </c>
      <c r="J114" s="6" t="n">
        <v>7</v>
      </c>
      <c r="K114" s="6" t="n">
        <v>5</v>
      </c>
      <c r="L114" s="7" t="n">
        <f aca="false">K114-J114</f>
        <v>-2</v>
      </c>
      <c r="M114" s="10" t="n">
        <f aca="false">IF(J114=0,"",K114/J114-1)</f>
        <v>-0.285714285714286</v>
      </c>
      <c r="N114" s="17" t="n">
        <f aca="false">K114/D114*10000</f>
        <v>2.02322664184842</v>
      </c>
      <c r="O114" s="7" t="n">
        <f aca="false">IF(K114=0,"none",D114/K114)</f>
        <v>4942.6</v>
      </c>
      <c r="P114" s="7" t="n">
        <f aca="false">IF(K114=0,"none",E114/K114)</f>
        <v>1061.8</v>
      </c>
      <c r="Q114" s="16" t="n">
        <v>0.116</v>
      </c>
      <c r="R114" s="16" t="n">
        <v>0.358</v>
      </c>
      <c r="S114" s="16" t="n">
        <v>0.078</v>
      </c>
      <c r="T114" s="6" t="n">
        <v>0</v>
      </c>
    </row>
    <row r="115" customFormat="false" ht="15" hidden="false" customHeight="false" outlineLevel="0" collapsed="false">
      <c r="A115" s="15" t="s">
        <v>377</v>
      </c>
      <c r="B115" s="15" t="s">
        <v>378</v>
      </c>
      <c r="C115" s="15" t="s">
        <v>76</v>
      </c>
      <c r="D115" s="6" t="n">
        <v>104604</v>
      </c>
      <c r="E115" s="6" t="n">
        <v>21851</v>
      </c>
      <c r="F115" s="16" t="n">
        <v>0.209</v>
      </c>
      <c r="G115" s="16" t="n">
        <v>0.047</v>
      </c>
      <c r="H115" s="16" t="n">
        <v>0.137</v>
      </c>
      <c r="I115" s="16" t="n">
        <v>0.06</v>
      </c>
      <c r="J115" s="6" t="n">
        <v>9</v>
      </c>
      <c r="K115" s="6" t="n">
        <v>8</v>
      </c>
      <c r="L115" s="7" t="n">
        <f aca="false">K115-J115</f>
        <v>-1</v>
      </c>
      <c r="M115" s="10" t="n">
        <f aca="false">IF(J115=0,"",K115/J115-1)</f>
        <v>-0.111111111111111</v>
      </c>
      <c r="N115" s="17" t="n">
        <f aca="false">K115/D115*10000</f>
        <v>0.764789109403082</v>
      </c>
      <c r="O115" s="7" t="n">
        <f aca="false">IF(K115=0,"none",D115/K115)</f>
        <v>13075.5</v>
      </c>
      <c r="P115" s="7" t="n">
        <f aca="false">IF(K115=0,"none",E115/K115)</f>
        <v>2731.375</v>
      </c>
      <c r="Q115" s="8"/>
      <c r="R115" s="8"/>
      <c r="S115" s="8"/>
      <c r="T115" s="6" t="n">
        <v>1</v>
      </c>
    </row>
    <row r="116" customFormat="false" ht="15" hidden="false" customHeight="false" outlineLevel="0" collapsed="false">
      <c r="A116" s="15" t="s">
        <v>379</v>
      </c>
      <c r="B116" s="15" t="s">
        <v>380</v>
      </c>
      <c r="C116" s="15" t="s">
        <v>76</v>
      </c>
      <c r="D116" s="6" t="n">
        <v>1245310</v>
      </c>
      <c r="E116" s="6" t="n">
        <v>242474</v>
      </c>
      <c r="F116" s="16" t="n">
        <v>0.195</v>
      </c>
      <c r="G116" s="16" t="n">
        <v>0.127</v>
      </c>
      <c r="H116" s="16" t="n">
        <v>0.175</v>
      </c>
      <c r="I116" s="16" t="n">
        <v>0.039</v>
      </c>
      <c r="J116" s="6" t="n">
        <v>259</v>
      </c>
      <c r="K116" s="6" t="n">
        <v>173</v>
      </c>
      <c r="L116" s="7" t="n">
        <f aca="false">K116-J116</f>
        <v>-86</v>
      </c>
      <c r="M116" s="10" t="n">
        <f aca="false">IF(J116=0,"",K116/J116-1)</f>
        <v>-0.332046332046332</v>
      </c>
      <c r="N116" s="17" t="n">
        <f aca="false">K116/D116*10000</f>
        <v>1.38921232464206</v>
      </c>
      <c r="O116" s="7" t="n">
        <f aca="false">IF(K116=0,"none",D116/K116)</f>
        <v>7198.32369942197</v>
      </c>
      <c r="P116" s="7" t="n">
        <f aca="false">IF(K116=0,"none",E116/K116)</f>
        <v>1401.5838150289</v>
      </c>
      <c r="Q116" s="8"/>
      <c r="R116" s="8"/>
      <c r="S116" s="8"/>
      <c r="T116" s="6" t="n">
        <v>0</v>
      </c>
    </row>
    <row r="117" customFormat="false" ht="15" hidden="false" customHeight="false" outlineLevel="0" collapsed="false">
      <c r="A117" s="15" t="s">
        <v>381</v>
      </c>
      <c r="B117" s="15" t="s">
        <v>382</v>
      </c>
      <c r="C117" s="15" t="s">
        <v>76</v>
      </c>
      <c r="D117" s="6" t="n">
        <v>65538</v>
      </c>
      <c r="E117" s="6" t="n">
        <v>14993</v>
      </c>
      <c r="F117" s="16" t="n">
        <v>0.229</v>
      </c>
      <c r="G117" s="16" t="n">
        <v>0.072</v>
      </c>
      <c r="H117" s="16" t="n">
        <v>0.19</v>
      </c>
      <c r="I117" s="16" t="n">
        <v>0.041</v>
      </c>
      <c r="J117" s="6" t="n">
        <v>14</v>
      </c>
      <c r="K117" s="6" t="n">
        <v>12</v>
      </c>
      <c r="L117" s="7" t="n">
        <f aca="false">K117-J117</f>
        <v>-2</v>
      </c>
      <c r="M117" s="10" t="n">
        <f aca="false">IF(J117=0,"",K117/J117-1)</f>
        <v>-0.142857142857143</v>
      </c>
      <c r="N117" s="17" t="n">
        <f aca="false">K117/D117*10000</f>
        <v>1.83099880985077</v>
      </c>
      <c r="O117" s="7" t="n">
        <f aca="false">IF(K117=0,"none",D117/K117)</f>
        <v>5461.5</v>
      </c>
      <c r="P117" s="7" t="n">
        <f aca="false">IF(K117=0,"none",E117/K117)</f>
        <v>1249.41666666667</v>
      </c>
      <c r="Q117" s="8"/>
      <c r="R117" s="8"/>
      <c r="S117" s="8"/>
      <c r="T117" s="6" t="n">
        <v>0</v>
      </c>
    </row>
    <row r="118" customFormat="false" ht="15" hidden="false" customHeight="false" outlineLevel="0" collapsed="false">
      <c r="A118" s="15" t="s">
        <v>383</v>
      </c>
      <c r="B118" s="15" t="s">
        <v>384</v>
      </c>
      <c r="C118" s="15" t="s">
        <v>76</v>
      </c>
      <c r="D118" s="6" t="n">
        <v>167629</v>
      </c>
      <c r="E118" s="6" t="n">
        <v>36827</v>
      </c>
      <c r="F118" s="16" t="n">
        <v>0.22</v>
      </c>
      <c r="G118" s="16" t="n">
        <v>0.085</v>
      </c>
      <c r="H118" s="16" t="n">
        <v>0.171</v>
      </c>
      <c r="I118" s="16" t="n">
        <v>0.039</v>
      </c>
      <c r="J118" s="6" t="n">
        <v>39</v>
      </c>
      <c r="K118" s="6" t="n">
        <v>29</v>
      </c>
      <c r="L118" s="7" t="n">
        <f aca="false">K118-J118</f>
        <v>-10</v>
      </c>
      <c r="M118" s="10" t="n">
        <f aca="false">IF(J118=0,"",K118/J118-1)</f>
        <v>-0.256410256410256</v>
      </c>
      <c r="N118" s="17" t="n">
        <f aca="false">K118/D118*10000</f>
        <v>1.73001091696544</v>
      </c>
      <c r="O118" s="7" t="n">
        <f aca="false">IF(K118=0,"none",D118/K118)</f>
        <v>5780.31034482759</v>
      </c>
      <c r="P118" s="7" t="n">
        <f aca="false">IF(K118=0,"none",E118/K118)</f>
        <v>1269.89655172414</v>
      </c>
      <c r="Q118" s="8"/>
      <c r="R118" s="8"/>
      <c r="S118" s="8"/>
      <c r="T118" s="6" t="n">
        <v>0</v>
      </c>
    </row>
    <row r="119" customFormat="false" ht="15" hidden="false" customHeight="false" outlineLevel="0" collapsed="false">
      <c r="A119" s="15" t="s">
        <v>385</v>
      </c>
      <c r="B119" s="15" t="s">
        <v>386</v>
      </c>
      <c r="C119" s="15" t="s">
        <v>76</v>
      </c>
      <c r="D119" s="6" t="n">
        <v>47613</v>
      </c>
      <c r="E119" s="6" t="n">
        <v>10958</v>
      </c>
      <c r="F119" s="16" t="n">
        <v>0.23</v>
      </c>
      <c r="G119" s="16" t="n">
        <v>0.058</v>
      </c>
      <c r="H119" s="16" t="n">
        <v>0.212</v>
      </c>
      <c r="I119" s="16" t="n">
        <v>0.074</v>
      </c>
      <c r="J119" s="6" t="n">
        <v>11</v>
      </c>
      <c r="K119" s="6" t="n">
        <v>10</v>
      </c>
      <c r="L119" s="7" t="n">
        <f aca="false">K119-J119</f>
        <v>-1</v>
      </c>
      <c r="M119" s="10" t="n">
        <f aca="false">IF(J119=0,"",K119/J119-1)</f>
        <v>-0.0909090909090909</v>
      </c>
      <c r="N119" s="17" t="n">
        <f aca="false">K119/D119*10000</f>
        <v>2.1002667338752</v>
      </c>
      <c r="O119" s="7" t="n">
        <f aca="false">IF(K119=0,"none",D119/K119)</f>
        <v>4761.3</v>
      </c>
      <c r="P119" s="7" t="n">
        <f aca="false">IF(K119=0,"none",E119/K119)</f>
        <v>1095.8</v>
      </c>
      <c r="Q119" s="8"/>
      <c r="R119" s="8"/>
      <c r="S119" s="8"/>
      <c r="T119" s="6" t="n">
        <v>0</v>
      </c>
    </row>
    <row r="120" customFormat="false" ht="15" hidden="false" customHeight="false" outlineLevel="0" collapsed="false">
      <c r="A120" s="15" t="s">
        <v>387</v>
      </c>
      <c r="B120" s="15" t="s">
        <v>388</v>
      </c>
      <c r="C120" s="15" t="s">
        <v>76</v>
      </c>
      <c r="D120" s="6" t="n">
        <v>428483</v>
      </c>
      <c r="E120" s="6" t="n">
        <v>75145</v>
      </c>
      <c r="F120" s="16" t="n">
        <v>0.175</v>
      </c>
      <c r="G120" s="16" t="n">
        <v>0.087</v>
      </c>
      <c r="H120" s="16" t="n">
        <v>0.188</v>
      </c>
      <c r="I120" s="16" t="n">
        <v>0.063</v>
      </c>
      <c r="J120" s="6" t="n">
        <v>69</v>
      </c>
      <c r="K120" s="6" t="n">
        <v>56</v>
      </c>
      <c r="L120" s="7" t="n">
        <f aca="false">K120-J120</f>
        <v>-13</v>
      </c>
      <c r="M120" s="10" t="n">
        <f aca="false">IF(J120=0,"",K120/J120-1)</f>
        <v>-0.188405797101449</v>
      </c>
      <c r="N120" s="17" t="n">
        <f aca="false">K120/D120*10000</f>
        <v>1.30693633119634</v>
      </c>
      <c r="O120" s="7" t="n">
        <f aca="false">IF(K120=0,"none",D120/K120)</f>
        <v>7651.48214285714</v>
      </c>
      <c r="P120" s="7" t="n">
        <f aca="false">IF(K120=0,"none",E120/K120)</f>
        <v>1341.875</v>
      </c>
      <c r="Q120" s="8"/>
      <c r="R120" s="8"/>
      <c r="S120" s="8"/>
      <c r="T120" s="6" t="n">
        <v>5</v>
      </c>
    </row>
    <row r="121" customFormat="false" ht="15" hidden="false" customHeight="false" outlineLevel="0" collapsed="false">
      <c r="A121" s="15" t="s">
        <v>389</v>
      </c>
      <c r="B121" s="15" t="s">
        <v>390</v>
      </c>
      <c r="C121" s="15" t="s">
        <v>76</v>
      </c>
      <c r="D121" s="6" t="n">
        <v>122640</v>
      </c>
      <c r="E121" s="6" t="n">
        <v>25616</v>
      </c>
      <c r="F121" s="16" t="n">
        <v>0.209</v>
      </c>
      <c r="G121" s="16" t="n">
        <v>0.085</v>
      </c>
      <c r="H121" s="16" t="n">
        <v>0.216</v>
      </c>
      <c r="I121" s="16" t="n">
        <v>0.054</v>
      </c>
      <c r="J121" s="6" t="n">
        <v>25</v>
      </c>
      <c r="K121" s="6" t="n">
        <v>17</v>
      </c>
      <c r="L121" s="7" t="n">
        <f aca="false">K121-J121</f>
        <v>-8</v>
      </c>
      <c r="M121" s="10" t="n">
        <f aca="false">IF(J121=0,"",K121/J121-1)</f>
        <v>-0.32</v>
      </c>
      <c r="N121" s="17" t="n">
        <f aca="false">K121/D121*10000</f>
        <v>1.38617090671885</v>
      </c>
      <c r="O121" s="7" t="n">
        <f aca="false">IF(K121=0,"none",D121/K121)</f>
        <v>7214.11764705882</v>
      </c>
      <c r="P121" s="7" t="n">
        <f aca="false">IF(K121=0,"none",E121/K121)</f>
        <v>1506.82352941176</v>
      </c>
      <c r="Q121" s="8"/>
      <c r="R121" s="8"/>
      <c r="S121" s="8"/>
      <c r="T121" s="6" t="n">
        <v>1</v>
      </c>
    </row>
    <row r="122" customFormat="false" ht="15" hidden="false" customHeight="false" outlineLevel="0" collapsed="false">
      <c r="A122" s="15" t="s">
        <v>391</v>
      </c>
      <c r="B122" s="15" t="s">
        <v>392</v>
      </c>
      <c r="C122" s="15" t="s">
        <v>76</v>
      </c>
      <c r="D122" s="6" t="n">
        <v>60159</v>
      </c>
      <c r="E122" s="6" t="n">
        <v>13080</v>
      </c>
      <c r="F122" s="16" t="n">
        <v>0.217</v>
      </c>
      <c r="G122" s="16" t="n">
        <v>0.075</v>
      </c>
      <c r="H122" s="16" t="n">
        <v>0.225</v>
      </c>
      <c r="I122" s="16" t="n">
        <v>0.069</v>
      </c>
      <c r="J122" s="6" t="n">
        <v>12</v>
      </c>
      <c r="K122" s="6" t="n">
        <v>9</v>
      </c>
      <c r="L122" s="7" t="n">
        <f aca="false">K122-J122</f>
        <v>-3</v>
      </c>
      <c r="M122" s="10" t="n">
        <f aca="false">IF(J122=0,"",K122/J122-1)</f>
        <v>-0.25</v>
      </c>
      <c r="N122" s="17" t="n">
        <f aca="false">K122/D122*10000</f>
        <v>1.49603550590934</v>
      </c>
      <c r="O122" s="7" t="n">
        <f aca="false">IF(K122=0,"none",D122/K122)</f>
        <v>6684.33333333333</v>
      </c>
      <c r="P122" s="7" t="n">
        <f aca="false">IF(K122=0,"none",E122/K122)</f>
        <v>1453.33333333333</v>
      </c>
      <c r="Q122" s="8"/>
      <c r="R122" s="8"/>
      <c r="S122" s="8"/>
      <c r="T122" s="6" t="n">
        <v>0</v>
      </c>
    </row>
    <row r="123" customFormat="false" ht="15" hidden="false" customHeight="false" outlineLevel="0" collapsed="false">
      <c r="A123" s="15" t="s">
        <v>393</v>
      </c>
      <c r="B123" s="15" t="s">
        <v>394</v>
      </c>
      <c r="C123" s="15" t="s">
        <v>76</v>
      </c>
      <c r="D123" s="6" t="n">
        <v>645163</v>
      </c>
      <c r="E123" s="6" t="n">
        <v>125555</v>
      </c>
      <c r="F123" s="16" t="n">
        <v>0.195</v>
      </c>
      <c r="G123" s="16" t="n">
        <v>0.047</v>
      </c>
      <c r="H123" s="16" t="n">
        <v>0.095</v>
      </c>
      <c r="I123" s="16" t="n">
        <v>0.04</v>
      </c>
      <c r="J123" s="6" t="n">
        <v>165</v>
      </c>
      <c r="K123" s="6" t="n">
        <v>139</v>
      </c>
      <c r="L123" s="7" t="n">
        <f aca="false">K123-J123</f>
        <v>-26</v>
      </c>
      <c r="M123" s="10" t="n">
        <f aca="false">IF(J123=0,"",K123/J123-1)</f>
        <v>-0.157575757575758</v>
      </c>
      <c r="N123" s="17" t="n">
        <f aca="false">K123/D123*10000</f>
        <v>2.15449429059013</v>
      </c>
      <c r="O123" s="7" t="n">
        <f aca="false">IF(K123=0,"none",D123/K123)</f>
        <v>4641.46043165468</v>
      </c>
      <c r="P123" s="7" t="n">
        <f aca="false">IF(K123=0,"none",E123/K123)</f>
        <v>903.273381294964</v>
      </c>
      <c r="Q123" s="8"/>
      <c r="R123" s="8"/>
      <c r="S123" s="8"/>
      <c r="T123" s="6" t="n">
        <v>1</v>
      </c>
    </row>
    <row r="124" customFormat="false" ht="15" hidden="false" customHeight="false" outlineLevel="0" collapsed="false">
      <c r="A124" s="15" t="s">
        <v>395</v>
      </c>
      <c r="B124" s="15" t="s">
        <v>396</v>
      </c>
      <c r="C124" s="15" t="s">
        <v>76</v>
      </c>
      <c r="D124" s="6" t="n">
        <v>194562</v>
      </c>
      <c r="E124" s="6" t="n">
        <v>38240</v>
      </c>
      <c r="F124" s="16" t="n">
        <v>0.197</v>
      </c>
      <c r="G124" s="16" t="n">
        <v>0.058</v>
      </c>
      <c r="H124" s="16" t="n">
        <v>0.137</v>
      </c>
      <c r="I124" s="16" t="n">
        <v>0.034</v>
      </c>
      <c r="J124" s="6" t="n">
        <v>40</v>
      </c>
      <c r="K124" s="6" t="n">
        <v>25</v>
      </c>
      <c r="L124" s="7" t="n">
        <f aca="false">K124-J124</f>
        <v>-15</v>
      </c>
      <c r="M124" s="10" t="n">
        <f aca="false">IF(J124=0,"",K124/J124-1)</f>
        <v>-0.375</v>
      </c>
      <c r="N124" s="17" t="n">
        <f aca="false">K124/D124*10000</f>
        <v>1.28493744924497</v>
      </c>
      <c r="O124" s="7" t="n">
        <f aca="false">IF(K124=0,"none",D124/K124)</f>
        <v>7782.48</v>
      </c>
      <c r="P124" s="7" t="n">
        <f aca="false">IF(K124=0,"none",E124/K124)</f>
        <v>1529.6</v>
      </c>
      <c r="Q124" s="8"/>
      <c r="R124" s="8"/>
      <c r="S124" s="8"/>
      <c r="T124" s="6" t="n">
        <v>0</v>
      </c>
    </row>
    <row r="125" customFormat="false" ht="15" hidden="false" customHeight="false" outlineLevel="0" collapsed="false">
      <c r="A125" s="15" t="s">
        <v>397</v>
      </c>
      <c r="B125" s="15" t="s">
        <v>398</v>
      </c>
      <c r="C125" s="15" t="s">
        <v>76</v>
      </c>
      <c r="D125" s="6" t="n">
        <v>133263</v>
      </c>
      <c r="E125" s="6" t="n">
        <v>30817</v>
      </c>
      <c r="F125" s="16" t="n">
        <v>0.231</v>
      </c>
      <c r="G125" s="16" t="n">
        <v>0.111</v>
      </c>
      <c r="H125" s="16" t="n">
        <v>0.224</v>
      </c>
      <c r="I125" s="16" t="n">
        <v>0.036</v>
      </c>
      <c r="J125" s="6" t="n">
        <v>28</v>
      </c>
      <c r="K125" s="6" t="n">
        <v>14</v>
      </c>
      <c r="L125" s="7" t="n">
        <f aca="false">K125-J125</f>
        <v>-14</v>
      </c>
      <c r="M125" s="10" t="n">
        <f aca="false">IF(J125=0,"",K125/J125-1)</f>
        <v>-0.5</v>
      </c>
      <c r="N125" s="17" t="n">
        <f aca="false">K125/D125*10000</f>
        <v>1.05055416732326</v>
      </c>
      <c r="O125" s="7" t="n">
        <f aca="false">IF(K125=0,"none",D125/K125)</f>
        <v>9518.78571428571</v>
      </c>
      <c r="P125" s="7" t="n">
        <f aca="false">IF(K125=0,"none",E125/K125)</f>
        <v>2201.21428571429</v>
      </c>
      <c r="Q125" s="8"/>
      <c r="R125" s="8"/>
      <c r="S125" s="8"/>
      <c r="T125" s="6" t="n">
        <v>0</v>
      </c>
    </row>
    <row r="126" customFormat="false" ht="15" hidden="false" customHeight="false" outlineLevel="0" collapsed="false">
      <c r="A126" s="15" t="s">
        <v>399</v>
      </c>
      <c r="B126" s="15" t="s">
        <v>400</v>
      </c>
      <c r="C126" s="15" t="s">
        <v>76</v>
      </c>
      <c r="D126" s="6" t="n">
        <v>4536</v>
      </c>
      <c r="E126" s="6" t="n">
        <v>1269</v>
      </c>
      <c r="F126" s="16" t="n">
        <v>0.28</v>
      </c>
      <c r="G126" s="16" t="n">
        <v>0.102</v>
      </c>
      <c r="H126" s="16" t="n">
        <v>0.301</v>
      </c>
      <c r="I126" s="16" t="n">
        <v>0.034</v>
      </c>
      <c r="J126" s="6" t="n">
        <v>1</v>
      </c>
      <c r="K126" s="6" t="n">
        <v>0</v>
      </c>
      <c r="L126" s="7" t="n">
        <f aca="false">K126-J126</f>
        <v>-1</v>
      </c>
      <c r="M126" s="10" t="n">
        <f aca="false">IF(J126=0,"",K126/J126-1)</f>
        <v>-1</v>
      </c>
      <c r="N126" s="17" t="n">
        <f aca="false">K126/D126*10000</f>
        <v>0</v>
      </c>
      <c r="O126" s="7" t="str">
        <f aca="false">IF(K126=0,"none",D126/K126)</f>
        <v>none</v>
      </c>
      <c r="P126" s="7" t="str">
        <f aca="false">IF(K126=0,"none",E126/K126)</f>
        <v>none</v>
      </c>
      <c r="Q126" s="8"/>
      <c r="R126" s="8"/>
      <c r="S126" s="8"/>
      <c r="T126" s="6" t="n">
        <v>0</v>
      </c>
    </row>
    <row r="127" customFormat="false" ht="15" hidden="false" customHeight="false" outlineLevel="0" collapsed="false">
      <c r="A127" s="15" t="s">
        <v>401</v>
      </c>
      <c r="B127" s="15" t="s">
        <v>402</v>
      </c>
      <c r="C127" s="15" t="s">
        <v>76</v>
      </c>
      <c r="D127" s="6" t="n">
        <v>65018</v>
      </c>
      <c r="E127" s="6" t="n">
        <v>14034</v>
      </c>
      <c r="F127" s="16" t="n">
        <v>0.216</v>
      </c>
      <c r="G127" s="16" t="n">
        <v>0.056</v>
      </c>
      <c r="H127" s="16" t="n">
        <v>0.196</v>
      </c>
      <c r="I127" s="16" t="n">
        <v>0.053</v>
      </c>
      <c r="J127" s="6" t="n">
        <v>12</v>
      </c>
      <c r="K127" s="6" t="n">
        <v>8</v>
      </c>
      <c r="L127" s="7" t="n">
        <f aca="false">K127-J127</f>
        <v>-4</v>
      </c>
      <c r="M127" s="10" t="n">
        <f aca="false">IF(J127=0,"",K127/J127-1)</f>
        <v>-0.333333333333333</v>
      </c>
      <c r="N127" s="17" t="n">
        <f aca="false">K127/D127*10000</f>
        <v>1.23042849672398</v>
      </c>
      <c r="O127" s="7" t="n">
        <f aca="false">IF(K127=0,"none",D127/K127)</f>
        <v>8127.25</v>
      </c>
      <c r="P127" s="7" t="n">
        <f aca="false">IF(K127=0,"none",E127/K127)</f>
        <v>1754.25</v>
      </c>
      <c r="Q127" s="8"/>
      <c r="R127" s="8"/>
      <c r="S127" s="8"/>
      <c r="T127" s="6" t="n">
        <v>0</v>
      </c>
    </row>
    <row r="128" customFormat="false" ht="15" hidden="false" customHeight="false" outlineLevel="0" collapsed="false">
      <c r="A128" s="15" t="s">
        <v>403</v>
      </c>
      <c r="B128" s="15" t="s">
        <v>404</v>
      </c>
      <c r="C128" s="15" t="s">
        <v>76</v>
      </c>
      <c r="D128" s="6" t="n">
        <v>158665</v>
      </c>
      <c r="E128" s="6" t="n">
        <v>23904</v>
      </c>
      <c r="F128" s="16" t="n">
        <v>0.151</v>
      </c>
      <c r="G128" s="16" t="n">
        <v>0.102</v>
      </c>
      <c r="H128" s="16" t="n">
        <v>0.238</v>
      </c>
      <c r="I128" s="16" t="n">
        <v>0.057</v>
      </c>
      <c r="J128" s="6" t="n">
        <v>21</v>
      </c>
      <c r="K128" s="6" t="n">
        <v>13</v>
      </c>
      <c r="L128" s="7" t="n">
        <f aca="false">K128-J128</f>
        <v>-8</v>
      </c>
      <c r="M128" s="10" t="n">
        <f aca="false">IF(J128=0,"",K128/J128-1)</f>
        <v>-0.380952380952381</v>
      </c>
      <c r="N128" s="17" t="n">
        <f aca="false">K128/D128*10000</f>
        <v>0.819336337566571</v>
      </c>
      <c r="O128" s="7" t="n">
        <f aca="false">IF(K128=0,"none",D128/K128)</f>
        <v>12205</v>
      </c>
      <c r="P128" s="7" t="n">
        <f aca="false">IF(K128=0,"none",E128/K128)</f>
        <v>1838.76923076923</v>
      </c>
      <c r="Q128" s="8"/>
      <c r="R128" s="8"/>
      <c r="S128" s="8"/>
      <c r="T128" s="6" t="n">
        <v>3</v>
      </c>
    </row>
    <row r="129" customFormat="false" ht="15" hidden="false" customHeight="false" outlineLevel="0" collapsed="false">
      <c r="A129" s="15" t="s">
        <v>405</v>
      </c>
      <c r="B129" s="15" t="s">
        <v>406</v>
      </c>
      <c r="C129" s="15" t="s">
        <v>76</v>
      </c>
      <c r="D129" s="6" t="n">
        <v>536474</v>
      </c>
      <c r="E129" s="6" t="n">
        <v>91051</v>
      </c>
      <c r="F129" s="16" t="n">
        <v>0.17</v>
      </c>
      <c r="G129" s="16" t="n">
        <v>0.041</v>
      </c>
      <c r="H129" s="16" t="n">
        <v>0.098</v>
      </c>
      <c r="I129" s="16" t="n">
        <v>0.047</v>
      </c>
      <c r="J129" s="6" t="n">
        <v>107</v>
      </c>
      <c r="K129" s="6" t="n">
        <v>88</v>
      </c>
      <c r="L129" s="7" t="n">
        <f aca="false">K129-J129</f>
        <v>-19</v>
      </c>
      <c r="M129" s="10" t="n">
        <f aca="false">IF(J129=0,"",K129/J129-1)</f>
        <v>-0.177570093457944</v>
      </c>
      <c r="N129" s="17" t="n">
        <f aca="false">K129/D129*10000</f>
        <v>1.64034044520331</v>
      </c>
      <c r="O129" s="7" t="n">
        <f aca="false">IF(K129=0,"none",D129/K129)</f>
        <v>6096.29545454546</v>
      </c>
      <c r="P129" s="7" t="n">
        <f aca="false">IF(K129=0,"none",E129/K129)</f>
        <v>1034.67045454545</v>
      </c>
      <c r="Q129" s="8"/>
      <c r="R129" s="8"/>
      <c r="S129" s="8"/>
      <c r="T129" s="6" t="n">
        <v>0</v>
      </c>
    </row>
    <row r="130" customFormat="false" ht="15" hidden="false" customHeight="false" outlineLevel="0" collapsed="false">
      <c r="A130" s="15" t="s">
        <v>407</v>
      </c>
      <c r="B130" s="15" t="s">
        <v>408</v>
      </c>
      <c r="C130" s="15" t="s">
        <v>76</v>
      </c>
      <c r="D130" s="6" t="n">
        <v>37489</v>
      </c>
      <c r="E130" s="6" t="n">
        <v>7515</v>
      </c>
      <c r="F130" s="16" t="n">
        <v>0.2</v>
      </c>
      <c r="G130" s="16" t="n">
        <v>0.066</v>
      </c>
      <c r="H130" s="16" t="n">
        <v>0.239</v>
      </c>
      <c r="I130" s="16" t="n">
        <v>0.068</v>
      </c>
      <c r="J130" s="6" t="n">
        <v>9</v>
      </c>
      <c r="K130" s="6" t="n">
        <v>8</v>
      </c>
      <c r="L130" s="7" t="n">
        <f aca="false">K130-J130</f>
        <v>-1</v>
      </c>
      <c r="M130" s="10" t="n">
        <f aca="false">IF(J130=0,"",K130/J130-1)</f>
        <v>-0.111111111111111</v>
      </c>
      <c r="N130" s="17" t="n">
        <f aca="false">K130/D130*10000</f>
        <v>2.13395929472645</v>
      </c>
      <c r="O130" s="7" t="n">
        <f aca="false">IF(K130=0,"none",D130/K130)</f>
        <v>4686.125</v>
      </c>
      <c r="P130" s="7" t="n">
        <f aca="false">IF(K130=0,"none",E130/K130)</f>
        <v>939.375</v>
      </c>
      <c r="Q130" s="8"/>
      <c r="R130" s="8"/>
      <c r="S130" s="8"/>
      <c r="T130" s="6" t="n">
        <v>0</v>
      </c>
    </row>
    <row r="131" customFormat="false" ht="15" hidden="false" customHeight="false" outlineLevel="0" collapsed="false">
      <c r="A131" s="15" t="s">
        <v>409</v>
      </c>
      <c r="B131" s="15" t="s">
        <v>410</v>
      </c>
      <c r="C131" s="15" t="s">
        <v>76</v>
      </c>
      <c r="D131" s="6" t="n">
        <v>79707</v>
      </c>
      <c r="E131" s="6" t="n">
        <v>16793</v>
      </c>
      <c r="F131" s="16" t="n">
        <v>0.211</v>
      </c>
      <c r="G131" s="16" t="n">
        <v>0.075</v>
      </c>
      <c r="H131" s="16" t="n">
        <v>0.232</v>
      </c>
      <c r="I131" s="16" t="n">
        <v>0.053</v>
      </c>
      <c r="J131" s="6" t="n">
        <v>14</v>
      </c>
      <c r="K131" s="6" t="n">
        <v>11</v>
      </c>
      <c r="L131" s="7" t="n">
        <f aca="false">K131-J131</f>
        <v>-3</v>
      </c>
      <c r="M131" s="10" t="n">
        <f aca="false">IF(J131=0,"",K131/J131-1)</f>
        <v>-0.214285714285714</v>
      </c>
      <c r="N131" s="17" t="n">
        <f aca="false">K131/D131*10000</f>
        <v>1.380054449421</v>
      </c>
      <c r="O131" s="7" t="n">
        <f aca="false">IF(K131=0,"none",D131/K131)</f>
        <v>7246.09090909091</v>
      </c>
      <c r="P131" s="7" t="n">
        <f aca="false">IF(K131=0,"none",E131/K131)</f>
        <v>1526.63636363636</v>
      </c>
      <c r="Q131" s="8"/>
      <c r="R131" s="8"/>
      <c r="S131" s="8"/>
      <c r="T131" s="6" t="n">
        <v>0</v>
      </c>
    </row>
    <row r="132" customFormat="false" ht="15" hidden="false" customHeight="false" outlineLevel="0" collapsed="false">
      <c r="A132" s="15" t="s">
        <v>411</v>
      </c>
      <c r="B132" s="15" t="s">
        <v>278</v>
      </c>
      <c r="C132" s="15" t="s">
        <v>76</v>
      </c>
      <c r="D132" s="6" t="n">
        <v>37860</v>
      </c>
      <c r="E132" s="6" t="n">
        <v>7311</v>
      </c>
      <c r="F132" s="16" t="n">
        <v>0.193</v>
      </c>
      <c r="G132" s="16" t="n">
        <v>0.095</v>
      </c>
      <c r="H132" s="16" t="n">
        <v>0.232</v>
      </c>
      <c r="I132" s="16" t="n">
        <v>0.097</v>
      </c>
      <c r="J132" s="6" t="n">
        <v>5</v>
      </c>
      <c r="K132" s="6" t="n">
        <v>4</v>
      </c>
      <c r="L132" s="7" t="n">
        <f aca="false">K132-J132</f>
        <v>-1</v>
      </c>
      <c r="M132" s="10" t="n">
        <f aca="false">IF(J132=0,"",K132/J132-1)</f>
        <v>-0.2</v>
      </c>
      <c r="N132" s="17" t="n">
        <f aca="false">K132/D132*10000</f>
        <v>1.05652403592182</v>
      </c>
      <c r="O132" s="7" t="n">
        <f aca="false">IF(K132=0,"none",D132/K132)</f>
        <v>9465</v>
      </c>
      <c r="P132" s="7" t="n">
        <f aca="false">IF(K132=0,"none",E132/K132)</f>
        <v>1827.75</v>
      </c>
      <c r="Q132" s="8"/>
      <c r="R132" s="8"/>
      <c r="S132" s="8"/>
      <c r="T132" s="6" t="n">
        <v>2</v>
      </c>
    </row>
    <row r="133" customFormat="false" ht="15" hidden="false" customHeight="false" outlineLevel="0" collapsed="false">
      <c r="A133" s="15" t="s">
        <v>412</v>
      </c>
      <c r="B133" s="15" t="s">
        <v>280</v>
      </c>
      <c r="C133" s="15" t="s">
        <v>76</v>
      </c>
      <c r="D133" s="6" t="n">
        <v>64924</v>
      </c>
      <c r="E133" s="6" t="n">
        <v>12945</v>
      </c>
      <c r="F133" s="16" t="n">
        <v>0.199</v>
      </c>
      <c r="G133" s="16" t="n">
        <v>0.073</v>
      </c>
      <c r="H133" s="16" t="n">
        <v>0.241</v>
      </c>
      <c r="I133" s="16" t="n">
        <v>0.041</v>
      </c>
      <c r="J133" s="6" t="n">
        <v>9</v>
      </c>
      <c r="K133" s="6" t="n">
        <v>6</v>
      </c>
      <c r="L133" s="7" t="n">
        <f aca="false">K133-J133</f>
        <v>-3</v>
      </c>
      <c r="M133" s="10" t="n">
        <f aca="false">IF(J133=0,"",K133/J133-1)</f>
        <v>-0.333333333333333</v>
      </c>
      <c r="N133" s="17" t="n">
        <f aca="false">K133/D133*10000</f>
        <v>0.924157476433984</v>
      </c>
      <c r="O133" s="7" t="n">
        <f aca="false">IF(K133=0,"none",D133/K133)</f>
        <v>10820.6666666667</v>
      </c>
      <c r="P133" s="7" t="n">
        <f aca="false">IF(K133=0,"none",E133/K133)</f>
        <v>2157.5</v>
      </c>
      <c r="Q133" s="8"/>
      <c r="R133" s="8"/>
      <c r="S133" s="8"/>
      <c r="T133" s="6" t="n">
        <v>2</v>
      </c>
    </row>
    <row r="134" customFormat="false" ht="15" hidden="false" customHeight="false" outlineLevel="0" collapsed="false">
      <c r="A134" s="15" t="s">
        <v>413</v>
      </c>
      <c r="B134" s="15" t="s">
        <v>414</v>
      </c>
      <c r="C134" s="15" t="s">
        <v>76</v>
      </c>
      <c r="D134" s="6" t="n">
        <v>83876</v>
      </c>
      <c r="E134" s="6" t="n">
        <v>18081</v>
      </c>
      <c r="F134" s="16" t="n">
        <v>0.216</v>
      </c>
      <c r="G134" s="16" t="n">
        <v>0.097</v>
      </c>
      <c r="H134" s="16" t="n">
        <v>0.248</v>
      </c>
      <c r="I134" s="16" t="n">
        <v>0.089</v>
      </c>
      <c r="J134" s="6" t="n">
        <v>16</v>
      </c>
      <c r="K134" s="6" t="n">
        <v>10</v>
      </c>
      <c r="L134" s="7" t="n">
        <f aca="false">K134-J134</f>
        <v>-6</v>
      </c>
      <c r="M134" s="10" t="n">
        <f aca="false">IF(J134=0,"",K134/J134-1)</f>
        <v>-0.375</v>
      </c>
      <c r="N134" s="17" t="n">
        <f aca="false">K134/D134*10000</f>
        <v>1.1922361581382</v>
      </c>
      <c r="O134" s="7" t="n">
        <f aca="false">IF(K134=0,"none",D134/K134)</f>
        <v>8387.6</v>
      </c>
      <c r="P134" s="7" t="n">
        <f aca="false">IF(K134=0,"none",E134/K134)</f>
        <v>1808.1</v>
      </c>
      <c r="Q134" s="8"/>
      <c r="R134" s="8"/>
      <c r="S134" s="8"/>
      <c r="T134" s="6" t="n">
        <v>0</v>
      </c>
    </row>
    <row r="135" customFormat="false" ht="15" hidden="false" customHeight="false" outlineLevel="0" collapsed="false">
      <c r="A135" s="15" t="s">
        <v>415</v>
      </c>
      <c r="B135" s="15" t="s">
        <v>231</v>
      </c>
      <c r="C135" s="15" t="s">
        <v>76</v>
      </c>
      <c r="D135" s="6" t="n">
        <v>261269</v>
      </c>
      <c r="E135" s="6" t="n">
        <v>48759</v>
      </c>
      <c r="F135" s="16" t="n">
        <v>0.187</v>
      </c>
      <c r="G135" s="16" t="n">
        <v>0.055</v>
      </c>
      <c r="H135" s="16" t="n">
        <v>0.128</v>
      </c>
      <c r="I135" s="16" t="n">
        <v>0.052</v>
      </c>
      <c r="J135" s="6" t="n">
        <v>48</v>
      </c>
      <c r="K135" s="6" t="n">
        <v>39</v>
      </c>
      <c r="L135" s="7" t="n">
        <f aca="false">K135-J135</f>
        <v>-9</v>
      </c>
      <c r="M135" s="10" t="n">
        <f aca="false">IF(J135=0,"",K135/J135-1)</f>
        <v>-0.1875</v>
      </c>
      <c r="N135" s="17" t="n">
        <f aca="false">K135/D135*10000</f>
        <v>1.49271440545951</v>
      </c>
      <c r="O135" s="7" t="n">
        <f aca="false">IF(K135=0,"none",D135/K135)</f>
        <v>6699.20512820513</v>
      </c>
      <c r="P135" s="7" t="n">
        <f aca="false">IF(K135=0,"none",E135/K135)</f>
        <v>1250.23076923077</v>
      </c>
      <c r="Q135" s="8"/>
      <c r="R135" s="8"/>
      <c r="S135" s="8"/>
      <c r="T135" s="6" t="n">
        <v>5</v>
      </c>
    </row>
    <row r="136" customFormat="false" ht="15" hidden="false" customHeight="false" outlineLevel="0" collapsed="false">
      <c r="A136" s="15" t="s">
        <v>416</v>
      </c>
      <c r="B136" s="15" t="s">
        <v>417</v>
      </c>
      <c r="C136" s="15" t="s">
        <v>76</v>
      </c>
      <c r="D136" s="6" t="n">
        <v>286108</v>
      </c>
      <c r="E136" s="6" t="n">
        <v>49936</v>
      </c>
      <c r="F136" s="16" t="n">
        <v>0.175</v>
      </c>
      <c r="G136" s="16" t="n">
        <v>0.09</v>
      </c>
      <c r="H136" s="16" t="n">
        <v>0.193</v>
      </c>
      <c r="I136" s="16" t="n">
        <v>0.057</v>
      </c>
      <c r="J136" s="6" t="n">
        <v>52</v>
      </c>
      <c r="K136" s="6" t="n">
        <v>40</v>
      </c>
      <c r="L136" s="7" t="n">
        <f aca="false">K136-J136</f>
        <v>-12</v>
      </c>
      <c r="M136" s="10" t="n">
        <f aca="false">IF(J136=0,"",K136/J136-1)</f>
        <v>-0.230769230769231</v>
      </c>
      <c r="N136" s="17" t="n">
        <f aca="false">K136/D136*10000</f>
        <v>1.39807345477931</v>
      </c>
      <c r="O136" s="7" t="n">
        <f aca="false">IF(K136=0,"none",D136/K136)</f>
        <v>7152.7</v>
      </c>
      <c r="P136" s="7" t="n">
        <f aca="false">IF(K136=0,"none",E136/K136)</f>
        <v>1248.4</v>
      </c>
      <c r="Q136" s="8"/>
      <c r="R136" s="8"/>
      <c r="S136" s="8"/>
      <c r="T136" s="6" t="n">
        <v>2</v>
      </c>
    </row>
    <row r="137" customFormat="false" ht="15" hidden="false" customHeight="false" outlineLevel="0" collapsed="false">
      <c r="A137" s="15" t="s">
        <v>418</v>
      </c>
      <c r="B137" s="15" t="s">
        <v>91</v>
      </c>
      <c r="C137" s="15" t="s">
        <v>76</v>
      </c>
      <c r="D137" s="6" t="n">
        <v>575312</v>
      </c>
      <c r="E137" s="6" t="n">
        <v>96358</v>
      </c>
      <c r="F137" s="16" t="n">
        <v>0.167</v>
      </c>
      <c r="G137" s="16" t="n">
        <v>0.101</v>
      </c>
      <c r="H137" s="16" t="n">
        <v>0.158</v>
      </c>
      <c r="I137" s="16" t="n">
        <v>0.05</v>
      </c>
      <c r="J137" s="6" t="n">
        <v>132</v>
      </c>
      <c r="K137" s="6" t="n">
        <v>104</v>
      </c>
      <c r="L137" s="7" t="n">
        <f aca="false">K137-J137</f>
        <v>-28</v>
      </c>
      <c r="M137" s="10" t="n">
        <f aca="false">IF(J137=0,"",K137/J137-1)</f>
        <v>-0.212121212121212</v>
      </c>
      <c r="N137" s="17" t="n">
        <f aca="false">K137/D137*10000</f>
        <v>1.80771477042022</v>
      </c>
      <c r="O137" s="7" t="n">
        <f aca="false">IF(K137=0,"none",D137/K137)</f>
        <v>5531.84615384615</v>
      </c>
      <c r="P137" s="7" t="n">
        <f aca="false">IF(K137=0,"none",E137/K137)</f>
        <v>926.519230769231</v>
      </c>
      <c r="Q137" s="8"/>
      <c r="R137" s="8"/>
      <c r="S137" s="8"/>
      <c r="T137" s="6" t="n">
        <v>0</v>
      </c>
    </row>
    <row r="138" customFormat="false" ht="15" hidden="false" customHeight="false" outlineLevel="0" collapsed="false">
      <c r="A138" s="15" t="s">
        <v>419</v>
      </c>
      <c r="B138" s="15" t="s">
        <v>420</v>
      </c>
      <c r="C138" s="15" t="s">
        <v>76</v>
      </c>
      <c r="D138" s="6" t="n">
        <v>30886</v>
      </c>
      <c r="E138" s="6" t="n">
        <v>7028</v>
      </c>
      <c r="F138" s="16" t="n">
        <v>0.228</v>
      </c>
      <c r="G138" s="16" t="n">
        <v>0.064</v>
      </c>
      <c r="H138" s="16" t="n">
        <v>0.177</v>
      </c>
      <c r="I138" s="16" t="n">
        <v>0.027</v>
      </c>
      <c r="J138" s="6" t="n">
        <v>7</v>
      </c>
      <c r="K138" s="6" t="n">
        <v>4</v>
      </c>
      <c r="L138" s="7" t="n">
        <f aca="false">K138-J138</f>
        <v>-3</v>
      </c>
      <c r="M138" s="10" t="n">
        <f aca="false">IF(J138=0,"",K138/J138-1)</f>
        <v>-0.428571428571429</v>
      </c>
      <c r="N138" s="17" t="n">
        <f aca="false">K138/D138*10000</f>
        <v>1.29508515184873</v>
      </c>
      <c r="O138" s="7" t="n">
        <f aca="false">IF(K138=0,"none",D138/K138)</f>
        <v>7721.5</v>
      </c>
      <c r="P138" s="7" t="n">
        <f aca="false">IF(K138=0,"none",E138/K138)</f>
        <v>1757</v>
      </c>
      <c r="Q138" s="8"/>
      <c r="R138" s="8"/>
      <c r="S138" s="8"/>
      <c r="T138" s="6" t="n">
        <v>0</v>
      </c>
    </row>
    <row r="139" customFormat="false" ht="15" hidden="false" customHeight="false" outlineLevel="0" collapsed="false">
      <c r="A139" s="15" t="s">
        <v>421</v>
      </c>
      <c r="B139" s="15" t="s">
        <v>287</v>
      </c>
      <c r="C139" s="15" t="s">
        <v>76</v>
      </c>
      <c r="D139" s="6" t="n">
        <v>270495</v>
      </c>
      <c r="E139" s="6" t="n">
        <v>50712</v>
      </c>
      <c r="F139" s="16" t="n">
        <v>0.187</v>
      </c>
      <c r="G139" s="16" t="n">
        <v>0.102</v>
      </c>
      <c r="H139" s="16" t="n">
        <v>0.246</v>
      </c>
      <c r="I139" s="16" t="n">
        <v>0.041</v>
      </c>
      <c r="J139" s="6" t="n">
        <v>46</v>
      </c>
      <c r="K139" s="6" t="n">
        <v>30</v>
      </c>
      <c r="L139" s="7" t="n">
        <f aca="false">K139-J139</f>
        <v>-16</v>
      </c>
      <c r="M139" s="10" t="n">
        <f aca="false">IF(J139=0,"",K139/J139-1)</f>
        <v>-0.347826086956522</v>
      </c>
      <c r="N139" s="17" t="n">
        <f aca="false">K139/D139*10000</f>
        <v>1.1090778018078</v>
      </c>
      <c r="O139" s="7" t="n">
        <f aca="false">IF(K139=0,"none",D139/K139)</f>
        <v>9016.5</v>
      </c>
      <c r="P139" s="7" t="n">
        <f aca="false">IF(K139=0,"none",E139/K139)</f>
        <v>1690.4</v>
      </c>
      <c r="Q139" s="8"/>
      <c r="R139" s="8"/>
      <c r="S139" s="8"/>
      <c r="T139" s="6" t="n">
        <v>0</v>
      </c>
    </row>
    <row r="140" customFormat="false" ht="15" hidden="false" customHeight="false" outlineLevel="0" collapsed="false">
      <c r="A140" s="15" t="s">
        <v>422</v>
      </c>
      <c r="B140" s="15" t="s">
        <v>423</v>
      </c>
      <c r="C140" s="15" t="s">
        <v>76</v>
      </c>
      <c r="D140" s="6" t="n">
        <v>128417</v>
      </c>
      <c r="E140" s="6" t="n">
        <v>28050</v>
      </c>
      <c r="F140" s="16" t="n">
        <v>0.218</v>
      </c>
      <c r="G140" s="16" t="n">
        <v>0.081</v>
      </c>
      <c r="H140" s="16" t="n">
        <v>0.251</v>
      </c>
      <c r="I140" s="16" t="n">
        <v>0.046</v>
      </c>
      <c r="J140" s="6" t="n">
        <v>31</v>
      </c>
      <c r="K140" s="6" t="n">
        <v>24</v>
      </c>
      <c r="L140" s="7" t="n">
        <f aca="false">K140-J140</f>
        <v>-7</v>
      </c>
      <c r="M140" s="10" t="n">
        <f aca="false">IF(J140=0,"",K140/J140-1)</f>
        <v>-0.225806451612903</v>
      </c>
      <c r="N140" s="17" t="n">
        <f aca="false">K140/D140*10000</f>
        <v>1.86891143695928</v>
      </c>
      <c r="O140" s="7" t="n">
        <f aca="false">IF(K140=0,"none",D140/K140)</f>
        <v>5350.70833333333</v>
      </c>
      <c r="P140" s="7" t="n">
        <f aca="false">IF(K140=0,"none",E140/K140)</f>
        <v>1168.75</v>
      </c>
      <c r="Q140" s="8"/>
      <c r="R140" s="8"/>
      <c r="S140" s="8"/>
      <c r="T140" s="6" t="n">
        <v>0</v>
      </c>
    </row>
    <row r="141" customFormat="false" ht="15" hidden="false" customHeight="false" outlineLevel="0" collapsed="false">
      <c r="A141" s="15" t="s">
        <v>424</v>
      </c>
      <c r="B141" s="15" t="s">
        <v>425</v>
      </c>
      <c r="C141" s="15" t="s">
        <v>76</v>
      </c>
      <c r="D141" s="6" t="n">
        <v>6959</v>
      </c>
      <c r="E141" s="6" t="n">
        <v>1593</v>
      </c>
      <c r="F141" s="16" t="n">
        <v>0.229</v>
      </c>
      <c r="G141" s="16" t="n">
        <v>0.061</v>
      </c>
      <c r="H141" s="16" t="n">
        <v>0.29</v>
      </c>
      <c r="I141" s="16" t="n">
        <v>0.067</v>
      </c>
      <c r="J141" s="6" t="n">
        <v>0</v>
      </c>
      <c r="K141" s="6" t="n">
        <v>0</v>
      </c>
      <c r="L141" s="7" t="n">
        <f aca="false">K141-J141</f>
        <v>0</v>
      </c>
      <c r="M141" s="10" t="str">
        <f aca="false">IF(J141=0,"",K141/J141-1)</f>
        <v/>
      </c>
      <c r="N141" s="17" t="n">
        <f aca="false">K141/D141*10000</f>
        <v>0</v>
      </c>
      <c r="O141" s="7" t="str">
        <f aca="false">IF(K141=0,"none",D141/K141)</f>
        <v>none</v>
      </c>
      <c r="P141" s="7" t="str">
        <f aca="false">IF(K141=0,"none",E141/K141)</f>
        <v>none</v>
      </c>
      <c r="Q141" s="8"/>
      <c r="R141" s="8"/>
      <c r="S141" s="8"/>
      <c r="T141" s="6" t="n">
        <v>0</v>
      </c>
    </row>
    <row r="142" customFormat="false" ht="15" hidden="false" customHeight="false" outlineLevel="0" collapsed="false">
      <c r="A142" s="15" t="s">
        <v>426</v>
      </c>
      <c r="B142" s="15" t="s">
        <v>290</v>
      </c>
      <c r="C142" s="15" t="s">
        <v>76</v>
      </c>
      <c r="D142" s="6" t="n">
        <v>156084</v>
      </c>
      <c r="E142" s="6" t="n">
        <v>30901</v>
      </c>
      <c r="F142" s="16" t="n">
        <v>0.198</v>
      </c>
      <c r="G142" s="16" t="n">
        <v>0.052</v>
      </c>
      <c r="H142" s="16" t="n">
        <v>0.172</v>
      </c>
      <c r="I142" s="16" t="n">
        <v>0.094</v>
      </c>
      <c r="J142" s="6" t="n">
        <v>28</v>
      </c>
      <c r="K142" s="6" t="n">
        <v>20</v>
      </c>
      <c r="L142" s="7" t="n">
        <f aca="false">K142-J142</f>
        <v>-8</v>
      </c>
      <c r="M142" s="10" t="n">
        <f aca="false">IF(J142=0,"",K142/J142-1)</f>
        <v>-0.285714285714286</v>
      </c>
      <c r="N142" s="17" t="n">
        <f aca="false">K142/D142*10000</f>
        <v>1.28136131826452</v>
      </c>
      <c r="O142" s="7" t="n">
        <f aca="false">IF(K142=0,"none",D142/K142)</f>
        <v>7804.2</v>
      </c>
      <c r="P142" s="7" t="n">
        <f aca="false">IF(K142=0,"none",E142/K142)</f>
        <v>1545.05</v>
      </c>
      <c r="Q142" s="8"/>
      <c r="R142" s="8"/>
      <c r="S142" s="8"/>
      <c r="T142" s="6" t="n">
        <v>2</v>
      </c>
    </row>
    <row r="143" customFormat="false" ht="15" hidden="false" customHeight="false" outlineLevel="0" collapsed="false">
      <c r="A143" s="15" t="s">
        <v>427</v>
      </c>
      <c r="B143" s="15" t="s">
        <v>292</v>
      </c>
      <c r="C143" s="15" t="s">
        <v>76</v>
      </c>
      <c r="D143" s="6" t="n">
        <v>14545</v>
      </c>
      <c r="E143" s="6" t="n">
        <v>3177</v>
      </c>
      <c r="F143" s="16" t="n">
        <v>0.218</v>
      </c>
      <c r="G143" s="16" t="n">
        <v>0.056</v>
      </c>
      <c r="H143" s="16" t="n">
        <v>0.182</v>
      </c>
      <c r="I143" s="16" t="n">
        <v>0.054</v>
      </c>
      <c r="J143" s="6" t="n">
        <v>2</v>
      </c>
      <c r="K143" s="6" t="n">
        <v>2</v>
      </c>
      <c r="L143" s="7" t="n">
        <f aca="false">K143-J143</f>
        <v>0</v>
      </c>
      <c r="M143" s="10" t="n">
        <f aca="false">IF(J143=0,"",K143/J143-1)</f>
        <v>0</v>
      </c>
      <c r="N143" s="17" t="n">
        <f aca="false">K143/D143*10000</f>
        <v>1.37504297009282</v>
      </c>
      <c r="O143" s="7" t="n">
        <f aca="false">IF(K143=0,"none",D143/K143)</f>
        <v>7272.5</v>
      </c>
      <c r="P143" s="7" t="n">
        <f aca="false">IF(K143=0,"none",E143/K143)</f>
        <v>1588.5</v>
      </c>
      <c r="Q143" s="8"/>
      <c r="R143" s="8"/>
      <c r="S143" s="8"/>
      <c r="T143" s="6" t="n">
        <v>0</v>
      </c>
    </row>
    <row r="144" customFormat="false" ht="15" hidden="false" customHeight="false" outlineLevel="0" collapsed="false">
      <c r="A144" s="15" t="s">
        <v>428</v>
      </c>
      <c r="B144" s="15" t="s">
        <v>296</v>
      </c>
      <c r="C144" s="15" t="s">
        <v>76</v>
      </c>
      <c r="D144" s="6" t="n">
        <v>35781</v>
      </c>
      <c r="E144" s="6" t="n">
        <v>7055</v>
      </c>
      <c r="F144" s="16" t="n">
        <v>0.197</v>
      </c>
      <c r="G144" s="16" t="n">
        <v>0.057</v>
      </c>
      <c r="H144" s="16" t="n">
        <v>0.201</v>
      </c>
      <c r="I144" s="16" t="n">
        <v>0.047</v>
      </c>
      <c r="J144" s="6" t="n">
        <v>7</v>
      </c>
      <c r="K144" s="6" t="n">
        <v>5</v>
      </c>
      <c r="L144" s="7" t="n">
        <f aca="false">K144-J144</f>
        <v>-2</v>
      </c>
      <c r="M144" s="10" t="n">
        <f aca="false">IF(J144=0,"",K144/J144-1)</f>
        <v>-0.285714285714286</v>
      </c>
      <c r="N144" s="17" t="n">
        <f aca="false">K144/D144*10000</f>
        <v>1.39738967608507</v>
      </c>
      <c r="O144" s="7" t="n">
        <f aca="false">IF(K144=0,"none",D144/K144)</f>
        <v>7156.2</v>
      </c>
      <c r="P144" s="7" t="n">
        <f aca="false">IF(K144=0,"none",E144/K144)</f>
        <v>1411</v>
      </c>
      <c r="Q144" s="8"/>
      <c r="R144" s="8"/>
      <c r="S144" s="8"/>
      <c r="T144" s="6" t="n">
        <v>0</v>
      </c>
    </row>
    <row r="145" customFormat="false" ht="15" hidden="false" customHeight="false" outlineLevel="0" collapsed="false">
      <c r="A145" s="15" t="s">
        <v>429</v>
      </c>
      <c r="B145" s="15" t="s">
        <v>430</v>
      </c>
      <c r="C145" s="15" t="s">
        <v>76</v>
      </c>
      <c r="D145" s="6" t="n">
        <v>44123</v>
      </c>
      <c r="E145" s="6" t="n">
        <v>9342</v>
      </c>
      <c r="F145" s="16" t="n">
        <v>0.212</v>
      </c>
      <c r="G145" s="16" t="n">
        <v>0.066</v>
      </c>
      <c r="H145" s="16" t="n">
        <v>0.203</v>
      </c>
      <c r="I145" s="16" t="n">
        <v>0.051</v>
      </c>
      <c r="J145" s="6" t="n">
        <v>5</v>
      </c>
      <c r="K145" s="6" t="n">
        <v>2</v>
      </c>
      <c r="L145" s="7" t="n">
        <f aca="false">K145-J145</f>
        <v>-3</v>
      </c>
      <c r="M145" s="10" t="n">
        <f aca="false">IF(J145=0,"",K145/J145-1)</f>
        <v>-0.6</v>
      </c>
      <c r="N145" s="17" t="n">
        <f aca="false">K145/D145*10000</f>
        <v>0.453278335561952</v>
      </c>
      <c r="O145" s="7" t="n">
        <f aca="false">IF(K145=0,"none",D145/K145)</f>
        <v>22061.5</v>
      </c>
      <c r="P145" s="7" t="n">
        <f aca="false">IF(K145=0,"none",E145/K145)</f>
        <v>4671</v>
      </c>
      <c r="Q145" s="8"/>
      <c r="R145" s="8"/>
      <c r="S145" s="8"/>
      <c r="T145" s="6" t="n">
        <v>1</v>
      </c>
    </row>
    <row r="146" customFormat="false" ht="15" hidden="false" customHeight="false" outlineLevel="0" collapsed="false">
      <c r="A146" s="15" t="s">
        <v>431</v>
      </c>
      <c r="B146" s="15" t="s">
        <v>432</v>
      </c>
      <c r="C146" s="15" t="s">
        <v>76</v>
      </c>
      <c r="D146" s="6" t="n">
        <v>83394</v>
      </c>
      <c r="E146" s="6" t="n">
        <v>16461</v>
      </c>
      <c r="F146" s="16" t="n">
        <v>0.197</v>
      </c>
      <c r="G146" s="16" t="n">
        <v>0.079</v>
      </c>
      <c r="H146" s="16" t="n">
        <v>0.232</v>
      </c>
      <c r="I146" s="16" t="n">
        <v>0.069</v>
      </c>
      <c r="J146" s="6" t="n">
        <v>12</v>
      </c>
      <c r="K146" s="6" t="n">
        <v>12</v>
      </c>
      <c r="L146" s="7" t="n">
        <f aca="false">K146-J146</f>
        <v>0</v>
      </c>
      <c r="M146" s="10" t="n">
        <f aca="false">IF(J146=0,"",K146/J146-1)</f>
        <v>0</v>
      </c>
      <c r="N146" s="17" t="n">
        <f aca="false">K146/D146*10000</f>
        <v>1.43895244262177</v>
      </c>
      <c r="O146" s="7" t="n">
        <f aca="false">IF(K146=0,"none",D146/K146)</f>
        <v>6949.5</v>
      </c>
      <c r="P146" s="7" t="n">
        <f aca="false">IF(K146=0,"none",E146/K146)</f>
        <v>1371.75</v>
      </c>
      <c r="Q146" s="8"/>
      <c r="R146" s="8"/>
      <c r="S146" s="8"/>
      <c r="T146" s="6" t="n">
        <v>0</v>
      </c>
    </row>
    <row r="147" customFormat="false" ht="15" hidden="false" customHeight="false" outlineLevel="0" collapsed="false">
      <c r="A147" s="15" t="s">
        <v>433</v>
      </c>
      <c r="B147" s="15" t="s">
        <v>302</v>
      </c>
      <c r="C147" s="15" t="s">
        <v>76</v>
      </c>
      <c r="D147" s="6" t="n">
        <v>44326</v>
      </c>
      <c r="E147" s="6" t="n">
        <v>9454</v>
      </c>
      <c r="F147" s="16" t="n">
        <v>0.213</v>
      </c>
      <c r="G147" s="16" t="n">
        <v>0.079</v>
      </c>
      <c r="H147" s="16" t="n">
        <v>0.237</v>
      </c>
      <c r="I147" s="16" t="n">
        <v>0.077</v>
      </c>
      <c r="J147" s="6" t="n">
        <v>6</v>
      </c>
      <c r="K147" s="6" t="n">
        <v>2</v>
      </c>
      <c r="L147" s="7" t="n">
        <f aca="false">K147-J147</f>
        <v>-4</v>
      </c>
      <c r="M147" s="10" t="n">
        <f aca="false">IF(J147=0,"",K147/J147-1)</f>
        <v>-0.666666666666667</v>
      </c>
      <c r="N147" s="17" t="n">
        <f aca="false">K147/D147*10000</f>
        <v>0.451202454541353</v>
      </c>
      <c r="O147" s="7" t="n">
        <f aca="false">IF(K147=0,"none",D147/K147)</f>
        <v>22163</v>
      </c>
      <c r="P147" s="7" t="n">
        <f aca="false">IF(K147=0,"none",E147/K147)</f>
        <v>4727</v>
      </c>
      <c r="Q147" s="8"/>
      <c r="R147" s="8"/>
      <c r="S147" s="8"/>
      <c r="T147" s="6" t="n">
        <v>0</v>
      </c>
    </row>
    <row r="148" customFormat="false" ht="15" hidden="false" customHeight="false" outlineLevel="0" collapsed="false">
      <c r="A148" s="15" t="s">
        <v>434</v>
      </c>
      <c r="B148" s="15" t="s">
        <v>435</v>
      </c>
      <c r="C148" s="15" t="s">
        <v>76</v>
      </c>
      <c r="D148" s="6" t="n">
        <v>23535</v>
      </c>
      <c r="E148" s="6" t="n">
        <v>4839</v>
      </c>
      <c r="F148" s="16" t="n">
        <v>0.206</v>
      </c>
      <c r="G148" s="16" t="n">
        <v>0.079</v>
      </c>
      <c r="H148" s="16" t="n">
        <v>0.194</v>
      </c>
      <c r="I148" s="16" t="n">
        <v>0.14</v>
      </c>
      <c r="J148" s="6" t="n">
        <v>2</v>
      </c>
      <c r="K148" s="6" t="n">
        <v>1</v>
      </c>
      <c r="L148" s="7" t="n">
        <f aca="false">K148-J148</f>
        <v>-1</v>
      </c>
      <c r="M148" s="10" t="n">
        <f aca="false">IF(J148=0,"",K148/J148-1)</f>
        <v>-0.5</v>
      </c>
      <c r="N148" s="17" t="n">
        <f aca="false">K148/D148*10000</f>
        <v>0.424899086466964</v>
      </c>
      <c r="O148" s="7" t="n">
        <f aca="false">IF(K148=0,"none",D148/K148)</f>
        <v>23535</v>
      </c>
      <c r="P148" s="7" t="n">
        <f aca="false">IF(K148=0,"none",E148/K148)</f>
        <v>4839</v>
      </c>
      <c r="Q148" s="8"/>
      <c r="R148" s="8"/>
      <c r="S148" s="8"/>
      <c r="T148" s="6" t="n">
        <v>1</v>
      </c>
    </row>
    <row r="149" customFormat="false" ht="15" hidden="false" customHeight="false" outlineLevel="0" collapsed="false">
      <c r="A149" s="15" t="s">
        <v>436</v>
      </c>
      <c r="B149" s="15" t="s">
        <v>437</v>
      </c>
      <c r="C149" s="15" t="s">
        <v>76</v>
      </c>
      <c r="D149" s="6" t="n">
        <v>215672</v>
      </c>
      <c r="E149" s="6" t="n">
        <v>43161</v>
      </c>
      <c r="F149" s="16" t="n">
        <v>0.2</v>
      </c>
      <c r="G149" s="16" t="n">
        <v>0.094</v>
      </c>
      <c r="H149" s="16" t="n">
        <v>0.213</v>
      </c>
      <c r="I149" s="16" t="n">
        <v>0.046</v>
      </c>
      <c r="J149" s="6" t="n">
        <v>56</v>
      </c>
      <c r="K149" s="6" t="n">
        <v>41</v>
      </c>
      <c r="L149" s="7" t="n">
        <f aca="false">K149-J149</f>
        <v>-15</v>
      </c>
      <c r="M149" s="10" t="n">
        <f aca="false">IF(J149=0,"",K149/J149-1)</f>
        <v>-0.267857142857143</v>
      </c>
      <c r="N149" s="17" t="n">
        <f aca="false">K149/D149*10000</f>
        <v>1.90103490485552</v>
      </c>
      <c r="O149" s="7" t="n">
        <f aca="false">IF(K149=0,"none",D149/K149)</f>
        <v>5260.29268292683</v>
      </c>
      <c r="P149" s="7" t="n">
        <f aca="false">IF(K149=0,"none",E149/K149)</f>
        <v>1052.70731707317</v>
      </c>
      <c r="Q149" s="8"/>
      <c r="R149" s="8"/>
      <c r="S149" s="8"/>
      <c r="T149" s="6" t="n">
        <v>1</v>
      </c>
    </row>
    <row r="150" customFormat="false" ht="15" hidden="false" customHeight="false" outlineLevel="0" collapsed="false">
      <c r="A150" s="15" t="s">
        <v>438</v>
      </c>
      <c r="B150" s="15" t="s">
        <v>439</v>
      </c>
      <c r="C150" s="15" t="s">
        <v>76</v>
      </c>
      <c r="D150" s="6" t="n">
        <v>553202</v>
      </c>
      <c r="E150" s="6" t="n">
        <v>104082</v>
      </c>
      <c r="F150" s="16" t="n">
        <v>0.188</v>
      </c>
      <c r="G150" s="16" t="n">
        <v>0.091</v>
      </c>
      <c r="H150" s="16" t="n">
        <v>0.144</v>
      </c>
      <c r="I150" s="16" t="n">
        <v>0.112</v>
      </c>
      <c r="J150" s="6" t="n">
        <v>81</v>
      </c>
      <c r="K150" s="6" t="n">
        <v>72</v>
      </c>
      <c r="L150" s="7" t="n">
        <f aca="false">K150-J150</f>
        <v>-9</v>
      </c>
      <c r="M150" s="10" t="n">
        <f aca="false">IF(J150=0,"",K150/J150-1)</f>
        <v>-0.111111111111111</v>
      </c>
      <c r="N150" s="17" t="n">
        <f aca="false">K150/D150*10000</f>
        <v>1.30151373277754</v>
      </c>
      <c r="O150" s="7" t="n">
        <f aca="false">IF(K150=0,"none",D150/K150)</f>
        <v>7683.36111111111</v>
      </c>
      <c r="P150" s="7" t="n">
        <f aca="false">IF(K150=0,"none",E150/K150)</f>
        <v>1445.58333333333</v>
      </c>
      <c r="Q150" s="8"/>
      <c r="R150" s="8"/>
      <c r="S150" s="8"/>
      <c r="T150" s="6" t="n">
        <v>11</v>
      </c>
    </row>
    <row r="151" customFormat="false" ht="15" hidden="false" customHeight="false" outlineLevel="0" collapsed="false">
      <c r="A151" s="15" t="s">
        <v>440</v>
      </c>
      <c r="B151" s="15" t="s">
        <v>441</v>
      </c>
      <c r="C151" s="15" t="s">
        <v>76</v>
      </c>
      <c r="D151" s="6" t="n">
        <v>85907</v>
      </c>
      <c r="E151" s="6" t="n">
        <v>19351</v>
      </c>
      <c r="F151" s="16" t="n">
        <v>0.225</v>
      </c>
      <c r="G151" s="16" t="n">
        <v>0.077</v>
      </c>
      <c r="H151" s="16" t="n">
        <v>0.225</v>
      </c>
      <c r="I151" s="16" t="n">
        <v>0.057</v>
      </c>
      <c r="J151" s="6" t="n">
        <v>19</v>
      </c>
      <c r="K151" s="6" t="n">
        <v>14</v>
      </c>
      <c r="L151" s="7" t="n">
        <f aca="false">K151-J151</f>
        <v>-5</v>
      </c>
      <c r="M151" s="10" t="n">
        <f aca="false">IF(J151=0,"",K151/J151-1)</f>
        <v>-0.263157894736842</v>
      </c>
      <c r="N151" s="17" t="n">
        <f aca="false">K151/D151*10000</f>
        <v>1.62966929353836</v>
      </c>
      <c r="O151" s="7" t="n">
        <f aca="false">IF(K151=0,"none",D151/K151)</f>
        <v>6136.21428571429</v>
      </c>
      <c r="P151" s="7" t="n">
        <f aca="false">IF(K151=0,"none",E151/K151)</f>
        <v>1382.21428571429</v>
      </c>
      <c r="Q151" s="8"/>
      <c r="R151" s="8"/>
      <c r="S151" s="8"/>
      <c r="T151" s="6" t="n">
        <v>0</v>
      </c>
    </row>
    <row r="152" customFormat="false" ht="15" hidden="false" customHeight="false" outlineLevel="0" collapsed="false">
      <c r="A152" s="15" t="s">
        <v>442</v>
      </c>
      <c r="B152" s="15" t="s">
        <v>443</v>
      </c>
      <c r="C152" s="15" t="s">
        <v>76</v>
      </c>
      <c r="D152" s="6" t="n">
        <v>143258</v>
      </c>
      <c r="E152" s="6" t="n">
        <v>28432</v>
      </c>
      <c r="F152" s="16" t="n">
        <v>0.198</v>
      </c>
      <c r="G152" s="16" t="n">
        <v>0.068</v>
      </c>
      <c r="H152" s="16" t="n">
        <v>0.182</v>
      </c>
      <c r="I152" s="16" t="n">
        <v>0.092</v>
      </c>
      <c r="J152" s="6" t="n">
        <v>20</v>
      </c>
      <c r="K152" s="6" t="n">
        <v>13</v>
      </c>
      <c r="L152" s="7" t="n">
        <f aca="false">K152-J152</f>
        <v>-7</v>
      </c>
      <c r="M152" s="10" t="n">
        <f aca="false">IF(J152=0,"",K152/J152-1)</f>
        <v>-0.35</v>
      </c>
      <c r="N152" s="17" t="n">
        <f aca="false">K152/D152*10000</f>
        <v>0.907453684960002</v>
      </c>
      <c r="O152" s="7" t="n">
        <f aca="false">IF(K152=0,"none",D152/K152)</f>
        <v>11019.8461538462</v>
      </c>
      <c r="P152" s="7" t="n">
        <f aca="false">IF(K152=0,"none",E152/K152)</f>
        <v>2187.07692307692</v>
      </c>
      <c r="Q152" s="8"/>
      <c r="R152" s="8"/>
      <c r="S152" s="8"/>
      <c r="T152" s="6" t="n">
        <v>3</v>
      </c>
    </row>
    <row r="153" customFormat="false" ht="15" hidden="false" customHeight="false" outlineLevel="0" collapsed="false">
      <c r="A153" s="15" t="s">
        <v>444</v>
      </c>
      <c r="B153" s="15" t="s">
        <v>445</v>
      </c>
      <c r="C153" s="15" t="s">
        <v>76</v>
      </c>
      <c r="D153" s="6" t="n">
        <v>374110</v>
      </c>
      <c r="E153" s="6" t="n">
        <v>63356</v>
      </c>
      <c r="F153" s="16" t="n">
        <v>0.169</v>
      </c>
      <c r="G153" s="16" t="n">
        <v>0.079</v>
      </c>
      <c r="H153" s="16" t="n">
        <v>0.199</v>
      </c>
      <c r="I153" s="16" t="n">
        <v>0.065</v>
      </c>
      <c r="J153" s="6" t="n">
        <v>82</v>
      </c>
      <c r="K153" s="6" t="n">
        <v>74</v>
      </c>
      <c r="L153" s="7" t="n">
        <f aca="false">K153-J153</f>
        <v>-8</v>
      </c>
      <c r="M153" s="10" t="n">
        <f aca="false">IF(J153=0,"",K153/J153-1)</f>
        <v>-0.0975609756097561</v>
      </c>
      <c r="N153" s="17" t="n">
        <f aca="false">K153/D153*10000</f>
        <v>1.97802785277058</v>
      </c>
      <c r="O153" s="7" t="n">
        <f aca="false">IF(K153=0,"none",D153/K153)</f>
        <v>5055.54054054054</v>
      </c>
      <c r="P153" s="7" t="n">
        <f aca="false">IF(K153=0,"none",E153/K153)</f>
        <v>856.162162162162</v>
      </c>
      <c r="Q153" s="8"/>
      <c r="R153" s="8"/>
      <c r="S153" s="8"/>
      <c r="T153" s="6" t="n">
        <v>7</v>
      </c>
    </row>
    <row r="154" customFormat="false" ht="15" hidden="false" customHeight="false" outlineLevel="0" collapsed="false">
      <c r="A154" s="15" t="s">
        <v>446</v>
      </c>
      <c r="B154" s="15" t="s">
        <v>447</v>
      </c>
      <c r="C154" s="15" t="s">
        <v>76</v>
      </c>
      <c r="D154" s="6" t="n">
        <v>325396</v>
      </c>
      <c r="E154" s="6" t="n">
        <v>64551</v>
      </c>
      <c r="F154" s="16" t="n">
        <v>0.198</v>
      </c>
      <c r="G154" s="16" t="n">
        <v>0.107</v>
      </c>
      <c r="H154" s="16" t="n">
        <v>0.241</v>
      </c>
      <c r="I154" s="16" t="n">
        <v>0.059</v>
      </c>
      <c r="J154" s="6" t="n">
        <v>76</v>
      </c>
      <c r="K154" s="6" t="n">
        <v>56</v>
      </c>
      <c r="L154" s="7" t="n">
        <f aca="false">K154-J154</f>
        <v>-20</v>
      </c>
      <c r="M154" s="10" t="n">
        <f aca="false">IF(J154=0,"",K154/J154-1)</f>
        <v>-0.263157894736842</v>
      </c>
      <c r="N154" s="17" t="n">
        <f aca="false">K154/D154*10000</f>
        <v>1.72097997516872</v>
      </c>
      <c r="O154" s="7" t="n">
        <f aca="false">IF(K154=0,"none",D154/K154)</f>
        <v>5810.64285714286</v>
      </c>
      <c r="P154" s="7" t="n">
        <f aca="false">IF(K154=0,"none",E154/K154)</f>
        <v>1152.69642857143</v>
      </c>
      <c r="Q154" s="8"/>
      <c r="R154" s="8"/>
      <c r="S154" s="8"/>
      <c r="T154" s="6" t="n">
        <v>5</v>
      </c>
    </row>
    <row r="155" customFormat="false" ht="15" hidden="false" customHeight="false" outlineLevel="0" collapsed="false">
      <c r="A155" s="15" t="s">
        <v>448</v>
      </c>
      <c r="B155" s="15" t="s">
        <v>449</v>
      </c>
      <c r="C155" s="15" t="s">
        <v>76</v>
      </c>
      <c r="D155" s="6" t="n">
        <v>114022</v>
      </c>
      <c r="E155" s="6" t="n">
        <v>22764</v>
      </c>
      <c r="F155" s="16" t="n">
        <v>0.2</v>
      </c>
      <c r="G155" s="16" t="n">
        <v>0.094</v>
      </c>
      <c r="H155" s="16" t="n">
        <v>0.209</v>
      </c>
      <c r="I155" s="16" t="n">
        <v>0.056</v>
      </c>
      <c r="J155" s="6" t="n">
        <v>22</v>
      </c>
      <c r="K155" s="6" t="n">
        <v>13</v>
      </c>
      <c r="L155" s="7" t="n">
        <f aca="false">K155-J155</f>
        <v>-9</v>
      </c>
      <c r="M155" s="10" t="n">
        <f aca="false">IF(J155=0,"",K155/J155-1)</f>
        <v>-0.409090909090909</v>
      </c>
      <c r="N155" s="17" t="n">
        <f aca="false">K155/D155*10000</f>
        <v>1.14013085194085</v>
      </c>
      <c r="O155" s="7" t="n">
        <f aca="false">IF(K155=0,"none",D155/K155)</f>
        <v>8770.92307692308</v>
      </c>
      <c r="P155" s="7" t="n">
        <f aca="false">IF(K155=0,"none",E155/K155)</f>
        <v>1751.07692307692</v>
      </c>
      <c r="Q155" s="8"/>
      <c r="R155" s="8"/>
      <c r="S155" s="8"/>
      <c r="T155" s="6" t="n">
        <v>5</v>
      </c>
    </row>
    <row r="156" customFormat="false" ht="15" hidden="false" customHeight="false" outlineLevel="0" collapsed="false">
      <c r="A156" s="15" t="s">
        <v>450</v>
      </c>
      <c r="B156" s="15" t="s">
        <v>451</v>
      </c>
      <c r="C156" s="15" t="s">
        <v>76</v>
      </c>
      <c r="D156" s="6" t="n">
        <v>40459</v>
      </c>
      <c r="E156" s="6" t="n">
        <v>8099</v>
      </c>
      <c r="F156" s="16" t="n">
        <v>0.2</v>
      </c>
      <c r="G156" s="16" t="n">
        <v>0.074</v>
      </c>
      <c r="H156" s="16" t="n">
        <v>0.253</v>
      </c>
      <c r="I156" s="16" t="n">
        <v>0.042</v>
      </c>
      <c r="J156" s="6" t="n">
        <v>10</v>
      </c>
      <c r="K156" s="6" t="n">
        <v>5</v>
      </c>
      <c r="L156" s="7" t="n">
        <f aca="false">K156-J156</f>
        <v>-5</v>
      </c>
      <c r="M156" s="10" t="n">
        <f aca="false">IF(J156=0,"",K156/J156-1)</f>
        <v>-0.5</v>
      </c>
      <c r="N156" s="17" t="n">
        <f aca="false">K156/D156*10000</f>
        <v>1.23581897723621</v>
      </c>
      <c r="O156" s="7" t="n">
        <f aca="false">IF(K156=0,"none",D156/K156)</f>
        <v>8091.8</v>
      </c>
      <c r="P156" s="7" t="n">
        <f aca="false">IF(K156=0,"none",E156/K156)</f>
        <v>1619.8</v>
      </c>
      <c r="Q156" s="8"/>
      <c r="R156" s="8"/>
      <c r="S156" s="8"/>
      <c r="T156" s="6" t="n">
        <v>0</v>
      </c>
    </row>
    <row r="157" customFormat="false" ht="15" hidden="false" customHeight="false" outlineLevel="0" collapsed="false">
      <c r="A157" s="15" t="s">
        <v>452</v>
      </c>
      <c r="B157" s="15" t="s">
        <v>241</v>
      </c>
      <c r="C157" s="15" t="s">
        <v>76</v>
      </c>
      <c r="D157" s="6" t="n">
        <v>110600</v>
      </c>
      <c r="E157" s="6" t="n">
        <v>24777</v>
      </c>
      <c r="F157" s="16" t="n">
        <v>0.224</v>
      </c>
      <c r="G157" s="16" t="n">
        <v>0.099</v>
      </c>
      <c r="H157" s="16" t="n">
        <v>0.218</v>
      </c>
      <c r="I157" s="16" t="n">
        <v>0.056</v>
      </c>
      <c r="J157" s="6" t="n">
        <v>29</v>
      </c>
      <c r="K157" s="6" t="n">
        <v>18</v>
      </c>
      <c r="L157" s="7" t="n">
        <f aca="false">K157-J157</f>
        <v>-11</v>
      </c>
      <c r="M157" s="10" t="n">
        <f aca="false">IF(J157=0,"",K157/J157-1)</f>
        <v>-0.379310344827586</v>
      </c>
      <c r="N157" s="17" t="n">
        <f aca="false">K157/D157*10000</f>
        <v>1.62748643761302</v>
      </c>
      <c r="O157" s="7" t="n">
        <f aca="false">IF(K157=0,"none",D157/K157)</f>
        <v>6144.44444444444</v>
      </c>
      <c r="P157" s="7" t="n">
        <f aca="false">IF(K157=0,"none",E157/K157)</f>
        <v>1376.5</v>
      </c>
      <c r="Q157" s="8"/>
      <c r="R157" s="8"/>
      <c r="S157" s="8"/>
      <c r="T157" s="6" t="n">
        <v>0</v>
      </c>
    </row>
    <row r="158" customFormat="false" ht="15" hidden="false" customHeight="false" outlineLevel="0" collapsed="false">
      <c r="A158" s="15" t="s">
        <v>453</v>
      </c>
      <c r="B158" s="15" t="s">
        <v>454</v>
      </c>
      <c r="C158" s="15" t="s">
        <v>76</v>
      </c>
      <c r="D158" s="6" t="n">
        <v>46146</v>
      </c>
      <c r="E158" s="6" t="n">
        <v>9980</v>
      </c>
      <c r="F158" s="16" t="n">
        <v>0.216</v>
      </c>
      <c r="G158" s="16" t="n">
        <v>0.099</v>
      </c>
      <c r="H158" s="16" t="n">
        <v>0.273</v>
      </c>
      <c r="I158" s="16" t="n">
        <v>0.133</v>
      </c>
      <c r="J158" s="6" t="n">
        <v>9</v>
      </c>
      <c r="K158" s="6" t="n">
        <v>8</v>
      </c>
      <c r="L158" s="7" t="n">
        <f aca="false">K158-J158</f>
        <v>-1</v>
      </c>
      <c r="M158" s="10" t="n">
        <f aca="false">IF(J158=0,"",K158/J158-1)</f>
        <v>-0.111111111111111</v>
      </c>
      <c r="N158" s="17" t="n">
        <f aca="false">K158/D158*10000</f>
        <v>1.73362805010185</v>
      </c>
      <c r="O158" s="7" t="n">
        <f aca="false">IF(K158=0,"none",D158/K158)</f>
        <v>5768.25</v>
      </c>
      <c r="P158" s="7" t="n">
        <f aca="false">IF(K158=0,"none",E158/K158)</f>
        <v>1247.5</v>
      </c>
      <c r="Q158" s="8"/>
      <c r="R158" s="8"/>
      <c r="S158" s="8"/>
      <c r="T158" s="6" t="n">
        <v>1</v>
      </c>
    </row>
    <row r="159" customFormat="false" ht="15" hidden="false" customHeight="false" outlineLevel="0" collapsed="false">
      <c r="A159" s="15" t="s">
        <v>455</v>
      </c>
      <c r="B159" s="15" t="s">
        <v>312</v>
      </c>
      <c r="C159" s="15" t="s">
        <v>76</v>
      </c>
      <c r="D159" s="6" t="n">
        <v>168128</v>
      </c>
      <c r="E159" s="6" t="n">
        <v>30720</v>
      </c>
      <c r="F159" s="16" t="n">
        <v>0.183</v>
      </c>
      <c r="G159" s="16" t="n">
        <v>0.051</v>
      </c>
      <c r="H159" s="16" t="n">
        <v>0.183</v>
      </c>
      <c r="I159" s="16" t="n">
        <v>0.065</v>
      </c>
      <c r="J159" s="6" t="n">
        <v>35</v>
      </c>
      <c r="K159" s="6" t="n">
        <v>34</v>
      </c>
      <c r="L159" s="7" t="n">
        <f aca="false">K159-J159</f>
        <v>-1</v>
      </c>
      <c r="M159" s="10" t="n">
        <f aca="false">IF(J159=0,"",K159/J159-1)</f>
        <v>-0.0285714285714286</v>
      </c>
      <c r="N159" s="17" t="n">
        <f aca="false">K159/D159*10000</f>
        <v>2.02226874762086</v>
      </c>
      <c r="O159" s="7" t="n">
        <f aca="false">IF(K159=0,"none",D159/K159)</f>
        <v>4944.94117647059</v>
      </c>
      <c r="P159" s="7" t="n">
        <f aca="false">IF(K159=0,"none",E159/K159)</f>
        <v>903.529411764706</v>
      </c>
      <c r="Q159" s="8"/>
      <c r="R159" s="8"/>
      <c r="S159" s="8"/>
      <c r="T159" s="6" t="n">
        <v>3</v>
      </c>
    </row>
    <row r="160" customFormat="false" ht="15" hidden="false" customHeight="false" outlineLevel="0" collapsed="false">
      <c r="A160" s="15" t="s">
        <v>456</v>
      </c>
      <c r="B160" s="15" t="s">
        <v>203</v>
      </c>
      <c r="C160" s="15" t="s">
        <v>76</v>
      </c>
      <c r="D160" s="6" t="n">
        <v>856399</v>
      </c>
      <c r="E160" s="6" t="n">
        <v>155467</v>
      </c>
      <c r="F160" s="16" t="n">
        <v>0.182</v>
      </c>
      <c r="G160" s="16" t="n">
        <v>0.052</v>
      </c>
      <c r="H160" s="16" t="n">
        <v>0.104</v>
      </c>
      <c r="I160" s="16" t="n">
        <v>0.038</v>
      </c>
      <c r="J160" s="6" t="n">
        <v>214</v>
      </c>
      <c r="K160" s="6" t="n">
        <v>178</v>
      </c>
      <c r="L160" s="7" t="n">
        <f aca="false">K160-J160</f>
        <v>-36</v>
      </c>
      <c r="M160" s="10" t="n">
        <f aca="false">IF(J160=0,"",K160/J160-1)</f>
        <v>-0.168224299065421</v>
      </c>
      <c r="N160" s="17" t="n">
        <f aca="false">K160/D160*10000</f>
        <v>2.07847043259042</v>
      </c>
      <c r="O160" s="7" t="n">
        <f aca="false">IF(K160=0,"none",D160/K160)</f>
        <v>4811.23033707865</v>
      </c>
      <c r="P160" s="7" t="n">
        <f aca="false">IF(K160=0,"none",E160/K160)</f>
        <v>873.410112359551</v>
      </c>
      <c r="Q160" s="8"/>
      <c r="R160" s="8"/>
      <c r="S160" s="8"/>
      <c r="T160" s="6" t="n">
        <v>2</v>
      </c>
    </row>
    <row r="161" customFormat="false" ht="15" hidden="false" customHeight="false" outlineLevel="0" collapsed="false">
      <c r="A161" s="15" t="s">
        <v>457</v>
      </c>
      <c r="B161" s="15" t="s">
        <v>458</v>
      </c>
      <c r="C161" s="15" t="s">
        <v>76</v>
      </c>
      <c r="D161" s="6" t="n">
        <v>18165</v>
      </c>
      <c r="E161" s="6" t="n">
        <v>3813</v>
      </c>
      <c r="F161" s="16" t="n">
        <v>0.21</v>
      </c>
      <c r="G161" s="16" t="n">
        <v>0.103</v>
      </c>
      <c r="H161" s="16" t="n">
        <v>0.167</v>
      </c>
      <c r="I161" s="16" t="n">
        <v>0.05</v>
      </c>
      <c r="J161" s="6" t="n">
        <v>4</v>
      </c>
      <c r="K161" s="6" t="n">
        <v>4</v>
      </c>
      <c r="L161" s="7" t="n">
        <f aca="false">K161-J161</f>
        <v>0</v>
      </c>
      <c r="M161" s="10" t="n">
        <f aca="false">IF(J161=0,"",K161/J161-1)</f>
        <v>0</v>
      </c>
      <c r="N161" s="17" t="n">
        <f aca="false">K161/D161*10000</f>
        <v>2.20203688411781</v>
      </c>
      <c r="O161" s="7" t="n">
        <f aca="false">IF(K161=0,"none",D161/K161)</f>
        <v>4541.25</v>
      </c>
      <c r="P161" s="7" t="n">
        <f aca="false">IF(K161=0,"none",E161/K161)</f>
        <v>953.25</v>
      </c>
      <c r="Q161" s="8"/>
      <c r="R161" s="8"/>
      <c r="S161" s="8"/>
      <c r="T161" s="6" t="n">
        <v>0</v>
      </c>
    </row>
    <row r="162" customFormat="false" ht="15" hidden="false" customHeight="false" outlineLevel="0" collapsed="false">
      <c r="A162" s="15" t="s">
        <v>459</v>
      </c>
      <c r="B162" s="15" t="s">
        <v>460</v>
      </c>
      <c r="C162" s="15" t="s">
        <v>76</v>
      </c>
      <c r="D162" s="6" t="n">
        <v>314299</v>
      </c>
      <c r="E162" s="6" t="n">
        <v>61421</v>
      </c>
      <c r="F162" s="16" t="n">
        <v>0.195</v>
      </c>
      <c r="G162" s="16" t="n">
        <v>0.07</v>
      </c>
      <c r="H162" s="16" t="n">
        <v>0.157</v>
      </c>
      <c r="I162" s="16" t="n">
        <v>0.041</v>
      </c>
      <c r="J162" s="6" t="n">
        <v>63</v>
      </c>
      <c r="K162" s="6" t="n">
        <v>58</v>
      </c>
      <c r="L162" s="7" t="n">
        <f aca="false">K162-J162</f>
        <v>-5</v>
      </c>
      <c r="M162" s="10" t="n">
        <f aca="false">IF(J162=0,"",K162/J162-1)</f>
        <v>-0.0793650793650794</v>
      </c>
      <c r="N162" s="17" t="n">
        <f aca="false">K162/D162*10000</f>
        <v>1.84537653635551</v>
      </c>
      <c r="O162" s="7" t="n">
        <f aca="false">IF(K162=0,"none",D162/K162)</f>
        <v>5418.94827586207</v>
      </c>
      <c r="P162" s="7" t="n">
        <f aca="false">IF(K162=0,"none",E162/K162)</f>
        <v>1058.98275862069</v>
      </c>
      <c r="Q162" s="8"/>
      <c r="R162" s="8"/>
      <c r="S162" s="8"/>
      <c r="T162" s="6" t="n">
        <v>4</v>
      </c>
    </row>
    <row r="163" customFormat="false" ht="15" hidden="false" customHeight="false" outlineLevel="0" collapsed="false">
      <c r="A163" s="15" t="s">
        <v>461</v>
      </c>
      <c r="B163" s="15" t="s">
        <v>462</v>
      </c>
      <c r="C163" s="15" t="s">
        <v>76</v>
      </c>
      <c r="D163" s="6" t="n">
        <v>91340</v>
      </c>
      <c r="E163" s="6" t="n">
        <v>19725</v>
      </c>
      <c r="F163" s="16" t="n">
        <v>0.216</v>
      </c>
      <c r="G163" s="16" t="n">
        <v>0.098</v>
      </c>
      <c r="H163" s="16" t="n">
        <v>0.218</v>
      </c>
      <c r="I163" s="16" t="n">
        <v>0.046</v>
      </c>
      <c r="J163" s="6" t="n">
        <v>15</v>
      </c>
      <c r="K163" s="6" t="n">
        <v>14</v>
      </c>
      <c r="L163" s="7" t="n">
        <f aca="false">K163-J163</f>
        <v>-1</v>
      </c>
      <c r="M163" s="10" t="n">
        <f aca="false">IF(J163=0,"",K163/J163-1)</f>
        <v>-0.0666666666666667</v>
      </c>
      <c r="N163" s="17" t="n">
        <f aca="false">K163/D163*10000</f>
        <v>1.53273483687322</v>
      </c>
      <c r="O163" s="7" t="n">
        <f aca="false">IF(K163=0,"none",D163/K163)</f>
        <v>6524.28571428572</v>
      </c>
      <c r="P163" s="7" t="n">
        <f aca="false">IF(K163=0,"none",E163/K163)</f>
        <v>1408.92857142857</v>
      </c>
      <c r="Q163" s="8"/>
      <c r="R163" s="8"/>
      <c r="S163" s="8"/>
      <c r="T163" s="6" t="n">
        <v>5</v>
      </c>
    </row>
    <row r="164" customFormat="false" ht="15" hidden="false" customHeight="false" outlineLevel="0" collapsed="false">
      <c r="A164" s="15" t="s">
        <v>463</v>
      </c>
      <c r="B164" s="15" t="s">
        <v>464</v>
      </c>
      <c r="C164" s="15" t="s">
        <v>76</v>
      </c>
      <c r="D164" s="6" t="n">
        <v>45941</v>
      </c>
      <c r="E164" s="6" t="n">
        <v>8901</v>
      </c>
      <c r="F164" s="16" t="n">
        <v>0.194</v>
      </c>
      <c r="G164" s="16" t="n">
        <v>0.056</v>
      </c>
      <c r="H164" s="16" t="n">
        <v>0.155</v>
      </c>
      <c r="I164" s="16" t="n">
        <v>0.099</v>
      </c>
      <c r="J164" s="6" t="n">
        <v>6</v>
      </c>
      <c r="K164" s="6" t="n">
        <v>2</v>
      </c>
      <c r="L164" s="7" t="n">
        <f aca="false">K164-J164</f>
        <v>-4</v>
      </c>
      <c r="M164" s="10" t="n">
        <f aca="false">IF(J164=0,"",K164/J164-1)</f>
        <v>-0.666666666666667</v>
      </c>
      <c r="N164" s="17" t="n">
        <f aca="false">K164/D164*10000</f>
        <v>0.43534098082323</v>
      </c>
      <c r="O164" s="7" t="n">
        <f aca="false">IF(K164=0,"none",D164/K164)</f>
        <v>22970.5</v>
      </c>
      <c r="P164" s="7" t="n">
        <f aca="false">IF(K164=0,"none",E164/K164)</f>
        <v>4450.5</v>
      </c>
      <c r="Q164" s="8"/>
      <c r="R164" s="8"/>
      <c r="S164" s="8"/>
      <c r="T164" s="6" t="n">
        <v>1</v>
      </c>
    </row>
    <row r="165" customFormat="false" ht="15" hidden="false" customHeight="false" outlineLevel="0" collapsed="false">
      <c r="A165" s="15" t="s">
        <v>465</v>
      </c>
      <c r="B165" s="15" t="s">
        <v>466</v>
      </c>
      <c r="C165" s="15" t="s">
        <v>76</v>
      </c>
      <c r="D165" s="6" t="n">
        <v>1593208</v>
      </c>
      <c r="E165" s="6" t="n">
        <v>223219</v>
      </c>
      <c r="F165" s="16" t="n">
        <v>0.14</v>
      </c>
      <c r="G165" s="16" t="n">
        <v>0.282</v>
      </c>
      <c r="H165" s="16" t="n">
        <v>0.331</v>
      </c>
      <c r="I165" s="16" t="n">
        <v>0.073</v>
      </c>
      <c r="J165" s="6" t="n">
        <v>420</v>
      </c>
      <c r="K165" s="6" t="n">
        <v>297</v>
      </c>
      <c r="L165" s="7" t="n">
        <f aca="false">K165-J165</f>
        <v>-123</v>
      </c>
      <c r="M165" s="10" t="n">
        <f aca="false">IF(J165=0,"",K165/J165-1)</f>
        <v>-0.292857142857143</v>
      </c>
      <c r="N165" s="17" t="n">
        <f aca="false">K165/D165*10000</f>
        <v>1.8641633735206</v>
      </c>
      <c r="O165" s="7" t="n">
        <f aca="false">IF(K165=0,"none",D165/K165)</f>
        <v>5364.3367003367</v>
      </c>
      <c r="P165" s="7" t="n">
        <f aca="false">IF(K165=0,"none",E165/K165)</f>
        <v>751.579124579125</v>
      </c>
      <c r="Q165" s="8"/>
      <c r="R165" s="8"/>
      <c r="S165" s="8"/>
      <c r="T165" s="6" t="n">
        <v>0</v>
      </c>
    </row>
    <row r="166" customFormat="false" ht="15" hidden="false" customHeight="false" outlineLevel="0" collapsed="false">
      <c r="A166" s="15" t="s">
        <v>467</v>
      </c>
      <c r="B166" s="15" t="s">
        <v>468</v>
      </c>
      <c r="C166" s="15" t="s">
        <v>76</v>
      </c>
      <c r="D166" s="6" t="n">
        <v>58996</v>
      </c>
      <c r="E166" s="6" t="n">
        <v>13564</v>
      </c>
      <c r="F166" s="16" t="n">
        <v>0.23</v>
      </c>
      <c r="G166" s="16" t="n">
        <v>0.054</v>
      </c>
      <c r="H166" s="16" t="n">
        <v>0.163</v>
      </c>
      <c r="I166" s="16" t="n">
        <v>0.052</v>
      </c>
      <c r="J166" s="6" t="n">
        <v>8</v>
      </c>
      <c r="K166" s="6" t="n">
        <v>7</v>
      </c>
      <c r="L166" s="7" t="n">
        <f aca="false">K166-J166</f>
        <v>-1</v>
      </c>
      <c r="M166" s="10" t="n">
        <f aca="false">IF(J166=0,"",K166/J166-1)</f>
        <v>-0.125</v>
      </c>
      <c r="N166" s="17" t="n">
        <f aca="false">K166/D166*10000</f>
        <v>1.18652112007594</v>
      </c>
      <c r="O166" s="7" t="n">
        <f aca="false">IF(K166=0,"none",D166/K166)</f>
        <v>8428</v>
      </c>
      <c r="P166" s="7" t="n">
        <f aca="false">IF(K166=0,"none",E166/K166)</f>
        <v>1937.71428571429</v>
      </c>
      <c r="Q166" s="8"/>
      <c r="R166" s="8"/>
      <c r="S166" s="8"/>
      <c r="T166" s="6" t="n">
        <v>1</v>
      </c>
    </row>
    <row r="167" customFormat="false" ht="15" hidden="false" customHeight="false" outlineLevel="0" collapsed="false">
      <c r="A167" s="15" t="s">
        <v>469</v>
      </c>
      <c r="B167" s="15" t="s">
        <v>470</v>
      </c>
      <c r="C167" s="15" t="s">
        <v>76</v>
      </c>
      <c r="D167" s="6" t="n">
        <v>16390</v>
      </c>
      <c r="E167" s="6" t="n">
        <v>4077</v>
      </c>
      <c r="F167" s="16" t="n">
        <v>0.249</v>
      </c>
      <c r="G167" s="16" t="n">
        <v>0.069</v>
      </c>
      <c r="H167" s="16" t="n">
        <v>0.233</v>
      </c>
      <c r="I167" s="16" t="n">
        <v>0.068</v>
      </c>
      <c r="J167" s="6" t="n">
        <v>4</v>
      </c>
      <c r="K167" s="6" t="n">
        <v>3</v>
      </c>
      <c r="L167" s="7" t="n">
        <f aca="false">K167-J167</f>
        <v>-1</v>
      </c>
      <c r="M167" s="10" t="n">
        <f aca="false">IF(J167=0,"",K167/J167-1)</f>
        <v>-0.25</v>
      </c>
      <c r="N167" s="17" t="n">
        <f aca="false">K167/D167*10000</f>
        <v>1.83038438071995</v>
      </c>
      <c r="O167" s="7" t="n">
        <f aca="false">IF(K167=0,"none",D167/K167)</f>
        <v>5463.33333333333</v>
      </c>
      <c r="P167" s="7" t="n">
        <f aca="false">IF(K167=0,"none",E167/K167)</f>
        <v>1359</v>
      </c>
      <c r="Q167" s="8"/>
      <c r="R167" s="8"/>
      <c r="S167" s="8"/>
      <c r="T167" s="6" t="n">
        <v>0</v>
      </c>
    </row>
    <row r="168" customFormat="false" ht="15" hidden="false" customHeight="false" outlineLevel="0" collapsed="false">
      <c r="A168" s="15" t="s">
        <v>471</v>
      </c>
      <c r="B168" s="15" t="s">
        <v>472</v>
      </c>
      <c r="C168" s="15" t="s">
        <v>76</v>
      </c>
      <c r="D168" s="6" t="n">
        <v>143201</v>
      </c>
      <c r="E168" s="6" t="n">
        <v>29578</v>
      </c>
      <c r="F168" s="16" t="n">
        <v>0.207</v>
      </c>
      <c r="G168" s="16" t="n">
        <v>0.082</v>
      </c>
      <c r="H168" s="16" t="n">
        <v>0.218</v>
      </c>
      <c r="I168" s="16" t="n">
        <v>0.06</v>
      </c>
      <c r="J168" s="6" t="n">
        <v>24</v>
      </c>
      <c r="K168" s="6" t="n">
        <v>16</v>
      </c>
      <c r="L168" s="7" t="n">
        <f aca="false">K168-J168</f>
        <v>-8</v>
      </c>
      <c r="M168" s="10" t="n">
        <f aca="false">IF(J168=0,"",K168/J168-1)</f>
        <v>-0.333333333333333</v>
      </c>
      <c r="N168" s="17" t="n">
        <f aca="false">K168/D168*10000</f>
        <v>1.11731063330563</v>
      </c>
      <c r="O168" s="7" t="n">
        <f aca="false">IF(K168=0,"none",D168/K168)</f>
        <v>8950.0625</v>
      </c>
      <c r="P168" s="7" t="n">
        <f aca="false">IF(K168=0,"none",E168/K168)</f>
        <v>1848.625</v>
      </c>
      <c r="Q168" s="8"/>
      <c r="R168" s="8"/>
      <c r="S168" s="8"/>
      <c r="T168" s="6" t="n">
        <v>1</v>
      </c>
    </row>
    <row r="169" customFormat="false" ht="15" hidden="false" customHeight="false" outlineLevel="0" collapsed="false">
      <c r="A169" s="15" t="s">
        <v>473</v>
      </c>
      <c r="B169" s="15" t="s">
        <v>474</v>
      </c>
      <c r="C169" s="15" t="s">
        <v>76</v>
      </c>
      <c r="D169" s="6" t="n">
        <v>39797</v>
      </c>
      <c r="E169" s="6" t="n">
        <v>7891</v>
      </c>
      <c r="F169" s="16" t="n">
        <v>0.198</v>
      </c>
      <c r="G169" s="16" t="n">
        <v>0.065</v>
      </c>
      <c r="H169" s="16" t="n">
        <v>0.174</v>
      </c>
      <c r="I169" s="16" t="n">
        <v>0.112</v>
      </c>
      <c r="J169" s="6" t="n">
        <v>5</v>
      </c>
      <c r="K169" s="6" t="n">
        <v>4</v>
      </c>
      <c r="L169" s="7" t="n">
        <f aca="false">K169-J169</f>
        <v>-1</v>
      </c>
      <c r="M169" s="10" t="n">
        <f aca="false">IF(J169=0,"",K169/J169-1)</f>
        <v>-0.2</v>
      </c>
      <c r="N169" s="17" t="n">
        <f aca="false">K169/D169*10000</f>
        <v>1.00510088700153</v>
      </c>
      <c r="O169" s="7" t="n">
        <f aca="false">IF(K169=0,"none",D169/K169)</f>
        <v>9949.25</v>
      </c>
      <c r="P169" s="7" t="n">
        <f aca="false">IF(K169=0,"none",E169/K169)</f>
        <v>1972.75</v>
      </c>
      <c r="Q169" s="8"/>
      <c r="R169" s="8"/>
      <c r="S169" s="8"/>
      <c r="T169" s="6" t="n">
        <v>1</v>
      </c>
    </row>
    <row r="170" customFormat="false" ht="15" hidden="false" customHeight="false" outlineLevel="0" collapsed="false">
      <c r="A170" s="15" t="s">
        <v>475</v>
      </c>
      <c r="B170" s="15" t="s">
        <v>209</v>
      </c>
      <c r="C170" s="15" t="s">
        <v>76</v>
      </c>
      <c r="D170" s="6" t="n">
        <v>73802</v>
      </c>
      <c r="E170" s="6" t="n">
        <v>17034</v>
      </c>
      <c r="F170" s="16" t="n">
        <v>0.231</v>
      </c>
      <c r="G170" s="16" t="n">
        <v>0.068</v>
      </c>
      <c r="H170" s="16" t="n">
        <v>0.202</v>
      </c>
      <c r="I170" s="16" t="n">
        <v>0.063</v>
      </c>
      <c r="J170" s="6" t="n">
        <v>14</v>
      </c>
      <c r="K170" s="6" t="n">
        <v>11</v>
      </c>
      <c r="L170" s="7" t="n">
        <f aca="false">K170-J170</f>
        <v>-3</v>
      </c>
      <c r="M170" s="10" t="n">
        <f aca="false">IF(J170=0,"",K170/J170-1)</f>
        <v>-0.214285714285714</v>
      </c>
      <c r="N170" s="17" t="n">
        <f aca="false">K170/D170*10000</f>
        <v>1.49047451288583</v>
      </c>
      <c r="O170" s="7" t="n">
        <f aca="false">IF(K170=0,"none",D170/K170)</f>
        <v>6709.27272727273</v>
      </c>
      <c r="P170" s="7" t="n">
        <f aca="false">IF(K170=0,"none",E170/K170)</f>
        <v>1548.54545454545</v>
      </c>
      <c r="Q170" s="8"/>
      <c r="R170" s="8"/>
      <c r="S170" s="8"/>
      <c r="T170" s="6" t="n">
        <v>0</v>
      </c>
    </row>
    <row r="171" customFormat="false" ht="15" hidden="false" customHeight="false" outlineLevel="0" collapsed="false">
      <c r="A171" s="15" t="s">
        <v>476</v>
      </c>
      <c r="B171" s="15" t="s">
        <v>360</v>
      </c>
      <c r="C171" s="15" t="s">
        <v>76</v>
      </c>
      <c r="D171" s="6" t="n">
        <v>5880</v>
      </c>
      <c r="E171" s="6" t="n">
        <v>1722</v>
      </c>
      <c r="F171" s="16" t="n">
        <v>0.293</v>
      </c>
      <c r="G171" s="16" t="n">
        <v>0.053</v>
      </c>
      <c r="H171" s="16" t="n">
        <v>0.186</v>
      </c>
      <c r="I171" s="16" t="n">
        <v>0.05</v>
      </c>
      <c r="J171" s="6" t="n">
        <v>2</v>
      </c>
      <c r="K171" s="6" t="n">
        <v>1</v>
      </c>
      <c r="L171" s="7" t="n">
        <f aca="false">K171-J171</f>
        <v>-1</v>
      </c>
      <c r="M171" s="10" t="n">
        <f aca="false">IF(J171=0,"",K171/J171-1)</f>
        <v>-0.5</v>
      </c>
      <c r="N171" s="17" t="n">
        <f aca="false">K171/D171*10000</f>
        <v>1.70068027210884</v>
      </c>
      <c r="O171" s="7" t="n">
        <f aca="false">IF(K171=0,"none",D171/K171)</f>
        <v>5880</v>
      </c>
      <c r="P171" s="7" t="n">
        <f aca="false">IF(K171=0,"none",E171/K171)</f>
        <v>1722</v>
      </c>
      <c r="Q171" s="8"/>
      <c r="R171" s="8"/>
      <c r="S171" s="8"/>
      <c r="T171" s="6" t="n">
        <v>0</v>
      </c>
    </row>
    <row r="172" customFormat="false" ht="15" hidden="false" customHeight="false" outlineLevel="0" collapsed="false">
      <c r="A172" s="15" t="s">
        <v>477</v>
      </c>
      <c r="B172" s="15" t="s">
        <v>478</v>
      </c>
      <c r="C172" s="15" t="s">
        <v>76</v>
      </c>
      <c r="D172" s="6" t="n">
        <v>38540</v>
      </c>
      <c r="E172" s="6" t="n">
        <v>9317</v>
      </c>
      <c r="F172" s="16" t="n">
        <v>0.242</v>
      </c>
      <c r="G172" s="16" t="n">
        <v>0.052</v>
      </c>
      <c r="H172" s="16" t="n">
        <v>0.203</v>
      </c>
      <c r="I172" s="16" t="n">
        <v>0.064</v>
      </c>
      <c r="J172" s="6" t="n">
        <v>7</v>
      </c>
      <c r="K172" s="6" t="n">
        <v>2</v>
      </c>
      <c r="L172" s="7" t="n">
        <f aca="false">K172-J172</f>
        <v>-5</v>
      </c>
      <c r="M172" s="10" t="n">
        <f aca="false">IF(J172=0,"",K172/J172-1)</f>
        <v>-0.714285714285714</v>
      </c>
      <c r="N172" s="17" t="n">
        <f aca="false">K172/D172*10000</f>
        <v>0.518941359626362</v>
      </c>
      <c r="O172" s="7" t="n">
        <f aca="false">IF(K172=0,"none",D172/K172)</f>
        <v>19270</v>
      </c>
      <c r="P172" s="7" t="n">
        <f aca="false">IF(K172=0,"none",E172/K172)</f>
        <v>4658.5</v>
      </c>
      <c r="Q172" s="8"/>
      <c r="R172" s="8"/>
      <c r="S172" s="8"/>
      <c r="T172" s="6" t="n">
        <v>0</v>
      </c>
    </row>
    <row r="173" customFormat="false" ht="15" hidden="false" customHeight="false" outlineLevel="0" collapsed="false">
      <c r="A173" s="15" t="s">
        <v>479</v>
      </c>
      <c r="B173" s="15" t="s">
        <v>362</v>
      </c>
      <c r="C173" s="15" t="s">
        <v>76</v>
      </c>
      <c r="D173" s="6" t="n">
        <v>41186</v>
      </c>
      <c r="E173" s="6" t="n">
        <v>9322</v>
      </c>
      <c r="F173" s="16" t="n">
        <v>0.226</v>
      </c>
      <c r="G173" s="16" t="n">
        <v>0.062</v>
      </c>
      <c r="H173" s="16" t="n">
        <v>0.219</v>
      </c>
      <c r="I173" s="16" t="n">
        <v>0.063</v>
      </c>
      <c r="J173" s="6" t="n">
        <v>8</v>
      </c>
      <c r="K173" s="6" t="n">
        <v>6</v>
      </c>
      <c r="L173" s="7" t="n">
        <f aca="false">K173-J173</f>
        <v>-2</v>
      </c>
      <c r="M173" s="10" t="n">
        <f aca="false">IF(J173=0,"",K173/J173-1)</f>
        <v>-0.25</v>
      </c>
      <c r="N173" s="17" t="n">
        <f aca="false">K173/D173*10000</f>
        <v>1.45680571067839</v>
      </c>
      <c r="O173" s="7" t="n">
        <f aca="false">IF(K173=0,"none",D173/K173)</f>
        <v>6864.33333333333</v>
      </c>
      <c r="P173" s="7" t="n">
        <f aca="false">IF(K173=0,"none",E173/K173)</f>
        <v>1553.66666666667</v>
      </c>
      <c r="Q173" s="8"/>
      <c r="R173" s="8"/>
      <c r="S173" s="8"/>
      <c r="T173" s="6" t="n">
        <v>1</v>
      </c>
    </row>
    <row r="174" customFormat="false" ht="15" hidden="false" customHeight="false" outlineLevel="0" collapsed="false">
      <c r="A174" s="15" t="s">
        <v>480</v>
      </c>
      <c r="B174" s="15" t="s">
        <v>257</v>
      </c>
      <c r="C174" s="15" t="s">
        <v>76</v>
      </c>
      <c r="D174" s="6" t="n">
        <v>42908</v>
      </c>
      <c r="E174" s="6" t="n">
        <v>8138</v>
      </c>
      <c r="F174" s="16" t="n">
        <v>0.19</v>
      </c>
      <c r="G174" s="16" t="n">
        <v>0.092</v>
      </c>
      <c r="H174" s="16" t="n">
        <v>0.176</v>
      </c>
      <c r="I174" s="16" t="n">
        <v>0.101</v>
      </c>
      <c r="J174" s="6" t="n">
        <v>7</v>
      </c>
      <c r="K174" s="6" t="n">
        <v>7</v>
      </c>
      <c r="L174" s="7" t="n">
        <f aca="false">K174-J174</f>
        <v>0</v>
      </c>
      <c r="M174" s="10" t="n">
        <f aca="false">IF(J174=0,"",K174/J174-1)</f>
        <v>0</v>
      </c>
      <c r="N174" s="17" t="n">
        <f aca="false">K174/D174*10000</f>
        <v>1.63139740840869</v>
      </c>
      <c r="O174" s="7" t="n">
        <f aca="false">IF(K174=0,"none",D174/K174)</f>
        <v>6129.71428571429</v>
      </c>
      <c r="P174" s="7" t="n">
        <f aca="false">IF(K174=0,"none",E174/K174)</f>
        <v>1162.57142857143</v>
      </c>
      <c r="Q174" s="8"/>
      <c r="R174" s="8"/>
      <c r="S174" s="8"/>
      <c r="T174" s="6" t="n">
        <v>2</v>
      </c>
    </row>
    <row r="175" customFormat="false" ht="15" hidden="false" customHeight="false" outlineLevel="0" collapsed="false">
      <c r="A175" s="15" t="s">
        <v>481</v>
      </c>
      <c r="B175" s="15" t="s">
        <v>482</v>
      </c>
      <c r="C175" s="15" t="s">
        <v>76</v>
      </c>
      <c r="D175" s="6" t="n">
        <v>50475</v>
      </c>
      <c r="E175" s="6" t="n">
        <v>11964</v>
      </c>
      <c r="F175" s="16" t="n">
        <v>0.237</v>
      </c>
      <c r="G175" s="16" t="n">
        <v>0.073</v>
      </c>
      <c r="H175" s="16" t="n">
        <v>0.228</v>
      </c>
      <c r="I175" s="16" t="n">
        <v>0.049</v>
      </c>
      <c r="J175" s="6" t="n">
        <v>10</v>
      </c>
      <c r="K175" s="6" t="n">
        <v>7</v>
      </c>
      <c r="L175" s="7" t="n">
        <f aca="false">K175-J175</f>
        <v>-3</v>
      </c>
      <c r="M175" s="10" t="n">
        <f aca="false">IF(J175=0,"",K175/J175-1)</f>
        <v>-0.3</v>
      </c>
      <c r="N175" s="17" t="n">
        <f aca="false">K175/D175*10000</f>
        <v>1.38682516097078</v>
      </c>
      <c r="O175" s="7" t="n">
        <f aca="false">IF(K175=0,"none",D175/K175)</f>
        <v>7210.71428571429</v>
      </c>
      <c r="P175" s="7" t="n">
        <f aca="false">IF(K175=0,"none",E175/K175)</f>
        <v>1709.14285714286</v>
      </c>
      <c r="Q175" s="8"/>
      <c r="R175" s="8"/>
      <c r="S175" s="8"/>
      <c r="T175" s="6" t="n">
        <v>0</v>
      </c>
    </row>
    <row r="176" customFormat="false" ht="15" hidden="false" customHeight="false" outlineLevel="0" collapsed="false">
      <c r="A176" s="15" t="s">
        <v>483</v>
      </c>
      <c r="B176" s="15" t="s">
        <v>259</v>
      </c>
      <c r="C176" s="15" t="s">
        <v>76</v>
      </c>
      <c r="D176" s="6" t="n">
        <v>38492</v>
      </c>
      <c r="E176" s="6" t="n">
        <v>9142</v>
      </c>
      <c r="F176" s="16" t="n">
        <v>0.238</v>
      </c>
      <c r="G176" s="16" t="n">
        <v>0.067</v>
      </c>
      <c r="H176" s="16" t="n">
        <v>0.211</v>
      </c>
      <c r="I176" s="16" t="n">
        <v>0.048</v>
      </c>
      <c r="J176" s="6" t="n">
        <v>8</v>
      </c>
      <c r="K176" s="6" t="n">
        <v>8</v>
      </c>
      <c r="L176" s="7" t="n">
        <f aca="false">K176-J176</f>
        <v>0</v>
      </c>
      <c r="M176" s="10" t="n">
        <f aca="false">IF(J176=0,"",K176/J176-1)</f>
        <v>0</v>
      </c>
      <c r="N176" s="17" t="n">
        <f aca="false">K176/D176*10000</f>
        <v>2.07835394367661</v>
      </c>
      <c r="O176" s="7" t="n">
        <f aca="false">IF(K176=0,"none",D176/K176)</f>
        <v>4811.5</v>
      </c>
      <c r="P176" s="7" t="n">
        <f aca="false">IF(K176=0,"none",E176/K176)</f>
        <v>1142.75</v>
      </c>
      <c r="Q176" s="8"/>
      <c r="R176" s="8"/>
      <c r="S176" s="8"/>
      <c r="T176" s="6" t="n">
        <v>0</v>
      </c>
    </row>
    <row r="177" customFormat="false" ht="15" hidden="false" customHeight="false" outlineLevel="0" collapsed="false">
      <c r="A177" s="15" t="s">
        <v>484</v>
      </c>
      <c r="B177" s="15" t="s">
        <v>215</v>
      </c>
      <c r="C177" s="15" t="s">
        <v>76</v>
      </c>
      <c r="D177" s="6" t="n">
        <v>209631</v>
      </c>
      <c r="E177" s="6" t="n">
        <v>44435</v>
      </c>
      <c r="F177" s="16" t="n">
        <v>0.212</v>
      </c>
      <c r="G177" s="16" t="n">
        <v>0.074</v>
      </c>
      <c r="H177" s="16" t="n">
        <v>0.155</v>
      </c>
      <c r="I177" s="16" t="n">
        <v>0.038</v>
      </c>
      <c r="J177" s="6" t="n">
        <v>42</v>
      </c>
      <c r="K177" s="6" t="n">
        <v>30</v>
      </c>
      <c r="L177" s="7" t="n">
        <f aca="false">K177-J177</f>
        <v>-12</v>
      </c>
      <c r="M177" s="10" t="n">
        <f aca="false">IF(J177=0,"",K177/J177-1)</f>
        <v>-0.285714285714286</v>
      </c>
      <c r="N177" s="17" t="n">
        <f aca="false">K177/D177*10000</f>
        <v>1.43108605120426</v>
      </c>
      <c r="O177" s="7" t="n">
        <f aca="false">IF(K177=0,"none",D177/K177)</f>
        <v>6987.7</v>
      </c>
      <c r="P177" s="7" t="n">
        <f aca="false">IF(K177=0,"none",E177/K177)</f>
        <v>1481.16666666667</v>
      </c>
      <c r="Q177" s="8"/>
      <c r="R177" s="8"/>
      <c r="S177" s="8"/>
      <c r="T177" s="6" t="n">
        <v>0</v>
      </c>
    </row>
    <row r="178" customFormat="false" ht="15" hidden="false" customHeight="false" outlineLevel="0" collapsed="false">
      <c r="A178" s="15" t="s">
        <v>485</v>
      </c>
      <c r="B178" s="15" t="s">
        <v>370</v>
      </c>
      <c r="C178" s="15" t="s">
        <v>76</v>
      </c>
      <c r="D178" s="6" t="n">
        <v>51227</v>
      </c>
      <c r="E178" s="6" t="n">
        <v>12609</v>
      </c>
      <c r="F178" s="16" t="n">
        <v>0.246</v>
      </c>
      <c r="G178" s="16" t="n">
        <v>0.064</v>
      </c>
      <c r="H178" s="16" t="n">
        <v>0.197</v>
      </c>
      <c r="I178" s="16" t="n">
        <v>0.065</v>
      </c>
      <c r="J178" s="6" t="n">
        <v>9</v>
      </c>
      <c r="K178" s="6" t="n">
        <v>8</v>
      </c>
      <c r="L178" s="7" t="n">
        <f aca="false">K178-J178</f>
        <v>-1</v>
      </c>
      <c r="M178" s="10" t="n">
        <f aca="false">IF(J178=0,"",K178/J178-1)</f>
        <v>-0.111111111111111</v>
      </c>
      <c r="N178" s="17" t="n">
        <f aca="false">K178/D178*10000</f>
        <v>1.56167645967947</v>
      </c>
      <c r="O178" s="7" t="n">
        <f aca="false">IF(K178=0,"none",D178/K178)</f>
        <v>6403.375</v>
      </c>
      <c r="P178" s="7" t="n">
        <f aca="false">IF(K178=0,"none",E178/K178)</f>
        <v>1576.125</v>
      </c>
      <c r="Q178" s="8"/>
      <c r="R178" s="8"/>
      <c r="S178" s="8"/>
      <c r="T178" s="6" t="n">
        <v>1</v>
      </c>
    </row>
    <row r="179" customFormat="false" ht="15" hidden="false" customHeight="false" outlineLevel="0" collapsed="false">
      <c r="A179" s="15" t="s">
        <v>486</v>
      </c>
      <c r="B179" s="15" t="s">
        <v>487</v>
      </c>
      <c r="C179" s="15" t="s">
        <v>76</v>
      </c>
      <c r="D179" s="6" t="n">
        <v>354414</v>
      </c>
      <c r="E179" s="6" t="n">
        <v>82872</v>
      </c>
      <c r="F179" s="16" t="n">
        <v>0.234</v>
      </c>
      <c r="G179" s="16" t="n">
        <v>0.07</v>
      </c>
      <c r="H179" s="16" t="n">
        <v>0.16</v>
      </c>
      <c r="I179" s="16" t="n">
        <v>0.032</v>
      </c>
      <c r="J179" s="6" t="n">
        <v>79</v>
      </c>
      <c r="K179" s="6" t="n">
        <v>51</v>
      </c>
      <c r="L179" s="7" t="n">
        <f aca="false">K179-J179</f>
        <v>-28</v>
      </c>
      <c r="M179" s="10" t="n">
        <f aca="false">IF(J179=0,"",K179/J179-1)</f>
        <v>-0.354430379746835</v>
      </c>
      <c r="N179" s="17" t="n">
        <f aca="false">K179/D179*10000</f>
        <v>1.43899507355804</v>
      </c>
      <c r="O179" s="7" t="n">
        <f aca="false">IF(K179=0,"none",D179/K179)</f>
        <v>6949.29411764706</v>
      </c>
      <c r="P179" s="7" t="n">
        <f aca="false">IF(K179=0,"none",E179/K179)</f>
        <v>1624.94117647059</v>
      </c>
      <c r="Q179" s="8"/>
      <c r="R179" s="8"/>
      <c r="S179" s="8"/>
      <c r="T179" s="6" t="n">
        <v>0</v>
      </c>
    </row>
    <row r="180" customFormat="false" ht="15" hidden="false" customHeight="false" outlineLevel="0" collapsed="false">
      <c r="A180" s="15" t="s">
        <v>488</v>
      </c>
      <c r="B180" s="15" t="s">
        <v>374</v>
      </c>
      <c r="C180" s="15" t="s">
        <v>76</v>
      </c>
      <c r="D180" s="6" t="n">
        <v>26219</v>
      </c>
      <c r="E180" s="6" t="n">
        <v>5751</v>
      </c>
      <c r="F180" s="16" t="n">
        <v>0.219</v>
      </c>
      <c r="G180" s="16" t="n">
        <v>0.054</v>
      </c>
      <c r="H180" s="16" t="n">
        <v>0.178</v>
      </c>
      <c r="I180" s="16" t="n">
        <v>0.039</v>
      </c>
      <c r="J180" s="6" t="n">
        <v>6</v>
      </c>
      <c r="K180" s="6" t="n">
        <v>5</v>
      </c>
      <c r="L180" s="7" t="n">
        <f aca="false">K180-J180</f>
        <v>-1</v>
      </c>
      <c r="M180" s="10" t="n">
        <f aca="false">IF(J180=0,"",K180/J180-1)</f>
        <v>-0.166666666666667</v>
      </c>
      <c r="N180" s="17" t="n">
        <f aca="false">K180/D180*10000</f>
        <v>1.90701399748274</v>
      </c>
      <c r="O180" s="7" t="n">
        <f aca="false">IF(K180=0,"none",D180/K180)</f>
        <v>5243.8</v>
      </c>
      <c r="P180" s="7" t="n">
        <f aca="false">IF(K180=0,"none",E180/K180)</f>
        <v>1150.2</v>
      </c>
      <c r="Q180" s="8"/>
      <c r="R180" s="8"/>
      <c r="S180" s="8"/>
      <c r="T180" s="6" t="n">
        <v>1</v>
      </c>
    </row>
    <row r="181" customFormat="false" ht="15" hidden="false" customHeight="false" outlineLevel="0" collapsed="false">
      <c r="A181" s="15" t="s">
        <v>489</v>
      </c>
      <c r="B181" s="15" t="s">
        <v>490</v>
      </c>
      <c r="C181" s="15" t="s">
        <v>76</v>
      </c>
      <c r="D181" s="6" t="n">
        <v>457051</v>
      </c>
      <c r="E181" s="6" t="n">
        <v>83046</v>
      </c>
      <c r="F181" s="16" t="n">
        <v>0.182</v>
      </c>
      <c r="G181" s="16" t="n">
        <v>0.056</v>
      </c>
      <c r="H181" s="16" t="n">
        <v>0.149</v>
      </c>
      <c r="I181" s="16" t="n">
        <v>0.049</v>
      </c>
      <c r="J181" s="6" t="n">
        <v>63</v>
      </c>
      <c r="K181" s="6" t="n">
        <v>40</v>
      </c>
      <c r="L181" s="7" t="n">
        <f aca="false">K181-J181</f>
        <v>-23</v>
      </c>
      <c r="M181" s="10" t="n">
        <f aca="false">IF(J181=0,"",K181/J181-1)</f>
        <v>-0.365079365079365</v>
      </c>
      <c r="N181" s="17" t="n">
        <f aca="false">K181/D181*10000</f>
        <v>0.875175855648494</v>
      </c>
      <c r="O181" s="7" t="n">
        <f aca="false">IF(K181=0,"none",D181/K181)</f>
        <v>11426.275</v>
      </c>
      <c r="P181" s="7" t="n">
        <f aca="false">IF(K181=0,"none",E181/K181)</f>
        <v>2076.15</v>
      </c>
      <c r="Q181" s="8"/>
      <c r="R181" s="8"/>
      <c r="S181" s="8"/>
      <c r="T181" s="6" t="n">
        <v>8</v>
      </c>
    </row>
    <row r="182" customFormat="false" ht="15" hidden="false" customHeight="false" outlineLevel="0" collapsed="false">
      <c r="A182" s="15" t="s">
        <v>491</v>
      </c>
      <c r="B182" s="15" t="s">
        <v>492</v>
      </c>
      <c r="C182" s="15" t="s">
        <v>77</v>
      </c>
      <c r="D182" s="6" t="n">
        <v>33367</v>
      </c>
      <c r="E182" s="6" t="n">
        <v>8313</v>
      </c>
      <c r="F182" s="16" t="n">
        <v>0.249</v>
      </c>
      <c r="G182" s="16" t="n">
        <v>0.08</v>
      </c>
      <c r="H182" s="16" t="n">
        <v>0.281</v>
      </c>
      <c r="I182" s="16" t="n">
        <v>0.107</v>
      </c>
      <c r="J182" s="6" t="n">
        <v>4</v>
      </c>
      <c r="K182" s="6" t="n">
        <v>4</v>
      </c>
      <c r="L182" s="7" t="n">
        <f aca="false">K182-J182</f>
        <v>0</v>
      </c>
      <c r="M182" s="10" t="n">
        <f aca="false">IF(J182=0,"",K182/J182-1)</f>
        <v>0</v>
      </c>
      <c r="N182" s="17" t="n">
        <f aca="false">K182/D182*10000</f>
        <v>1.19878922288489</v>
      </c>
      <c r="O182" s="7" t="n">
        <f aca="false">IF(K182=0,"none",D182/K182)</f>
        <v>8341.75</v>
      </c>
      <c r="P182" s="7" t="n">
        <f aca="false">IF(K182=0,"none",E182/K182)</f>
        <v>2078.25</v>
      </c>
      <c r="Q182" s="16" t="n">
        <v>0.182</v>
      </c>
      <c r="R182" s="16" t="n">
        <v>0.474</v>
      </c>
      <c r="S182" s="16" t="n">
        <v>0.098</v>
      </c>
      <c r="T182" s="6" t="n">
        <v>0</v>
      </c>
    </row>
    <row r="183" customFormat="false" ht="15" hidden="false" customHeight="false" outlineLevel="0" collapsed="false">
      <c r="A183" s="15" t="s">
        <v>493</v>
      </c>
      <c r="B183" s="15" t="s">
        <v>494</v>
      </c>
      <c r="C183" s="15" t="s">
        <v>77</v>
      </c>
      <c r="D183" s="6" t="n">
        <v>112513</v>
      </c>
      <c r="E183" s="6" t="n">
        <v>22137</v>
      </c>
      <c r="F183" s="16" t="n">
        <v>0.197</v>
      </c>
      <c r="G183" s="16" t="n">
        <v>0.047</v>
      </c>
      <c r="H183" s="16" t="n">
        <v>0.112</v>
      </c>
      <c r="I183" s="16" t="n">
        <v>0.058</v>
      </c>
      <c r="J183" s="6" t="n">
        <v>14</v>
      </c>
      <c r="K183" s="6" t="n">
        <v>7</v>
      </c>
      <c r="L183" s="7" t="n">
        <f aca="false">K183-J183</f>
        <v>-7</v>
      </c>
      <c r="M183" s="10" t="n">
        <f aca="false">IF(J183=0,"",K183/J183-1)</f>
        <v>-0.5</v>
      </c>
      <c r="N183" s="17" t="n">
        <f aca="false">K183/D183*10000</f>
        <v>0.622150329295282</v>
      </c>
      <c r="O183" s="7" t="n">
        <f aca="false">IF(K183=0,"none",D183/K183)</f>
        <v>16073.2857142857</v>
      </c>
      <c r="P183" s="7" t="n">
        <f aca="false">IF(K183=0,"none",E183/K183)</f>
        <v>3162.42857142857</v>
      </c>
      <c r="Q183" s="16" t="n">
        <v>0.102</v>
      </c>
      <c r="R183" s="16" t="n">
        <v>0.322</v>
      </c>
      <c r="S183" s="16" t="n">
        <v>0.052</v>
      </c>
      <c r="T183" s="6" t="n">
        <v>0</v>
      </c>
    </row>
    <row r="184" customFormat="false" ht="15" hidden="false" customHeight="false" outlineLevel="0" collapsed="false">
      <c r="A184" s="15" t="s">
        <v>495</v>
      </c>
      <c r="B184" s="15" t="s">
        <v>496</v>
      </c>
      <c r="C184" s="15" t="s">
        <v>77</v>
      </c>
      <c r="D184" s="6" t="n">
        <v>157594</v>
      </c>
      <c r="E184" s="6" t="n">
        <v>19445</v>
      </c>
      <c r="F184" s="16" t="n">
        <v>0.123</v>
      </c>
      <c r="G184" s="16" t="n">
        <v>0.11</v>
      </c>
      <c r="H184" s="16" t="n">
        <v>0.134</v>
      </c>
      <c r="I184" s="16" t="n">
        <v>0.088</v>
      </c>
      <c r="J184" s="6" t="n">
        <v>38</v>
      </c>
      <c r="K184" s="6" t="n">
        <v>33</v>
      </c>
      <c r="L184" s="7" t="n">
        <f aca="false">K184-J184</f>
        <v>-5</v>
      </c>
      <c r="M184" s="10" t="n">
        <f aca="false">IF(J184=0,"",K184/J184-1)</f>
        <v>-0.131578947368421</v>
      </c>
      <c r="N184" s="17" t="n">
        <f aca="false">K184/D184*10000</f>
        <v>2.09398834981027</v>
      </c>
      <c r="O184" s="7" t="n">
        <f aca="false">IF(K184=0,"none",D184/K184)</f>
        <v>4775.57575757576</v>
      </c>
      <c r="P184" s="7" t="n">
        <f aca="false">IF(K184=0,"none",E184/K184)</f>
        <v>589.242424242424</v>
      </c>
      <c r="Q184" s="16" t="n">
        <v>0.099</v>
      </c>
      <c r="R184" s="16" t="n">
        <v>0.303</v>
      </c>
      <c r="S184" s="16" t="n">
        <v>0.062</v>
      </c>
      <c r="T184" s="6" t="n">
        <v>0</v>
      </c>
    </row>
    <row r="185" customFormat="false" ht="15" hidden="false" customHeight="false" outlineLevel="0" collapsed="false">
      <c r="A185" s="15" t="s">
        <v>497</v>
      </c>
      <c r="B185" s="15" t="s">
        <v>498</v>
      </c>
      <c r="C185" s="15" t="s">
        <v>77</v>
      </c>
      <c r="D185" s="6" t="n">
        <v>15159</v>
      </c>
      <c r="E185" s="6" t="n">
        <v>3805</v>
      </c>
      <c r="F185" s="16" t="n">
        <v>0.251</v>
      </c>
      <c r="G185" s="16" t="n">
        <v>0.067</v>
      </c>
      <c r="H185" s="16" t="n">
        <v>0.214</v>
      </c>
      <c r="I185" s="16" t="n">
        <v>0.074</v>
      </c>
      <c r="J185" s="6" t="n">
        <v>5</v>
      </c>
      <c r="K185" s="6" t="n">
        <v>4</v>
      </c>
      <c r="L185" s="7" t="n">
        <f aca="false">K185-J185</f>
        <v>-1</v>
      </c>
      <c r="M185" s="10" t="n">
        <f aca="false">IF(J185=0,"",K185/J185-1)</f>
        <v>-0.2</v>
      </c>
      <c r="N185" s="17" t="n">
        <f aca="false">K185/D185*10000</f>
        <v>2.63869648393694</v>
      </c>
      <c r="O185" s="7" t="n">
        <f aca="false">IF(K185=0,"none",D185/K185)</f>
        <v>3789.75</v>
      </c>
      <c r="P185" s="7" t="n">
        <f aca="false">IF(K185=0,"none",E185/K185)</f>
        <v>951.25</v>
      </c>
      <c r="Q185" s="16" t="n">
        <v>0.151</v>
      </c>
      <c r="R185" s="16" t="n">
        <v>0.425</v>
      </c>
      <c r="S185" s="16" t="n">
        <v>0.073</v>
      </c>
      <c r="T185" s="6" t="n">
        <v>0</v>
      </c>
    </row>
    <row r="186" customFormat="false" ht="15" hidden="false" customHeight="false" outlineLevel="0" collapsed="false">
      <c r="A186" s="15" t="s">
        <v>499</v>
      </c>
      <c r="B186" s="15" t="s">
        <v>500</v>
      </c>
      <c r="C186" s="15" t="s">
        <v>77</v>
      </c>
      <c r="D186" s="6" t="n">
        <v>13309</v>
      </c>
      <c r="E186" s="6" t="n">
        <v>2665</v>
      </c>
      <c r="F186" s="16" t="n">
        <v>0.2</v>
      </c>
      <c r="G186" s="16" t="n">
        <v>0.026</v>
      </c>
      <c r="H186" s="16" t="n">
        <v>0.245</v>
      </c>
      <c r="I186" s="16" t="n">
        <v>0.056</v>
      </c>
      <c r="J186" s="6" t="n">
        <v>3</v>
      </c>
      <c r="K186" s="6" t="n">
        <v>3</v>
      </c>
      <c r="L186" s="7" t="n">
        <f aca="false">K186-J186</f>
        <v>0</v>
      </c>
      <c r="M186" s="10" t="n">
        <f aca="false">IF(J186=0,"",K186/J186-1)</f>
        <v>0</v>
      </c>
      <c r="N186" s="17" t="n">
        <f aca="false">K186/D186*10000</f>
        <v>2.25411375760763</v>
      </c>
      <c r="O186" s="7" t="n">
        <f aca="false">IF(K186=0,"none",D186/K186)</f>
        <v>4436.33333333333</v>
      </c>
      <c r="P186" s="7" t="n">
        <f aca="false">IF(K186=0,"none",E186/K186)</f>
        <v>888.333333333333</v>
      </c>
      <c r="Q186" s="16" t="n">
        <v>0.166</v>
      </c>
      <c r="R186" s="16" t="n">
        <v>0.43</v>
      </c>
      <c r="S186" s="16" t="n">
        <v>0.091</v>
      </c>
      <c r="T186" s="6" t="n">
        <v>0</v>
      </c>
    </row>
    <row r="187" customFormat="false" ht="15" hidden="false" customHeight="false" outlineLevel="0" collapsed="false">
      <c r="A187" s="15" t="s">
        <v>501</v>
      </c>
      <c r="B187" s="15" t="s">
        <v>502</v>
      </c>
      <c r="C187" s="15" t="s">
        <v>77</v>
      </c>
      <c r="D187" s="6" t="n">
        <v>31426</v>
      </c>
      <c r="E187" s="6" t="n">
        <v>6663</v>
      </c>
      <c r="F187" s="16" t="n">
        <v>0.212</v>
      </c>
      <c r="G187" s="16" t="n">
        <v>0.054</v>
      </c>
      <c r="H187" s="16" t="n">
        <v>0.223</v>
      </c>
      <c r="I187" s="16" t="n">
        <v>0.077</v>
      </c>
      <c r="J187" s="6" t="n">
        <v>4</v>
      </c>
      <c r="K187" s="6" t="n">
        <v>4</v>
      </c>
      <c r="L187" s="7" t="n">
        <f aca="false">K187-J187</f>
        <v>0</v>
      </c>
      <c r="M187" s="10" t="n">
        <f aca="false">IF(J187=0,"",K187/J187-1)</f>
        <v>0</v>
      </c>
      <c r="N187" s="17" t="n">
        <f aca="false">K187/D187*10000</f>
        <v>1.27283141347928</v>
      </c>
      <c r="O187" s="7" t="n">
        <f aca="false">IF(K187=0,"none",D187/K187)</f>
        <v>7856.5</v>
      </c>
      <c r="P187" s="7" t="n">
        <f aca="false">IF(K187=0,"none",E187/K187)</f>
        <v>1665.75</v>
      </c>
      <c r="Q187" s="16" t="n">
        <v>0.151</v>
      </c>
      <c r="R187" s="16" t="n">
        <v>0.412</v>
      </c>
      <c r="S187" s="16" t="n">
        <v>0.082</v>
      </c>
      <c r="T187" s="6" t="n">
        <v>0</v>
      </c>
    </row>
    <row r="188" customFormat="false" ht="15" hidden="false" customHeight="false" outlineLevel="0" collapsed="false">
      <c r="A188" s="15" t="s">
        <v>503</v>
      </c>
      <c r="B188" s="15" t="s">
        <v>504</v>
      </c>
      <c r="C188" s="15" t="s">
        <v>77</v>
      </c>
      <c r="D188" s="6" t="n">
        <v>16253</v>
      </c>
      <c r="E188" s="6" t="n">
        <v>3334</v>
      </c>
      <c r="F188" s="16" t="n">
        <v>0.205</v>
      </c>
      <c r="G188" s="16" t="n">
        <v>0.034</v>
      </c>
      <c r="H188" s="16" t="n">
        <v>0.225</v>
      </c>
      <c r="I188" s="16" t="n">
        <v>0.083</v>
      </c>
      <c r="J188" s="6" t="n">
        <v>4</v>
      </c>
      <c r="K188" s="6" t="n">
        <v>4</v>
      </c>
      <c r="L188" s="7" t="n">
        <f aca="false">K188-J188</f>
        <v>0</v>
      </c>
      <c r="M188" s="10" t="n">
        <f aca="false">IF(J188=0,"",K188/J188-1)</f>
        <v>0</v>
      </c>
      <c r="N188" s="17" t="n">
        <f aca="false">K188/D188*10000</f>
        <v>2.46108410754938</v>
      </c>
      <c r="O188" s="7" t="n">
        <f aca="false">IF(K188=0,"none",D188/K188)</f>
        <v>4063.25</v>
      </c>
      <c r="P188" s="7" t="n">
        <f aca="false">IF(K188=0,"none",E188/K188)</f>
        <v>833.5</v>
      </c>
      <c r="Q188" s="16" t="n">
        <v>0.148</v>
      </c>
      <c r="R188" s="16" t="n">
        <v>0.414</v>
      </c>
      <c r="S188" s="16" t="n">
        <v>0.082</v>
      </c>
      <c r="T188" s="6" t="n">
        <v>0</v>
      </c>
    </row>
    <row r="189" customFormat="false" ht="15" hidden="false" customHeight="false" outlineLevel="0" collapsed="false">
      <c r="A189" s="15" t="s">
        <v>505</v>
      </c>
      <c r="B189" s="15" t="s">
        <v>506</v>
      </c>
      <c r="C189" s="15" t="s">
        <v>77</v>
      </c>
      <c r="D189" s="6" t="n">
        <v>235845</v>
      </c>
      <c r="E189" s="6" t="n">
        <v>26573</v>
      </c>
      <c r="F189" s="16" t="n">
        <v>0.113</v>
      </c>
      <c r="G189" s="16" t="n">
        <v>0.141</v>
      </c>
      <c r="H189" s="16" t="n">
        <v>0.103</v>
      </c>
      <c r="I189" s="16" t="n">
        <v>0.055</v>
      </c>
      <c r="J189" s="6" t="n">
        <v>54</v>
      </c>
      <c r="K189" s="6" t="n">
        <v>51</v>
      </c>
      <c r="L189" s="7" t="n">
        <f aca="false">K189-J189</f>
        <v>-3</v>
      </c>
      <c r="M189" s="10" t="n">
        <f aca="false">IF(J189=0,"",K189/J189-1)</f>
        <v>-0.0555555555555556</v>
      </c>
      <c r="N189" s="17" t="n">
        <f aca="false">K189/D189*10000</f>
        <v>2.16243719391974</v>
      </c>
      <c r="O189" s="7" t="n">
        <f aca="false">IF(K189=0,"none",D189/K189)</f>
        <v>4624.41176470588</v>
      </c>
      <c r="P189" s="7" t="n">
        <f aca="false">IF(K189=0,"none",E189/K189)</f>
        <v>521.039215686275</v>
      </c>
      <c r="Q189" s="16" t="n">
        <v>0.08</v>
      </c>
      <c r="R189" s="16" t="n">
        <v>0.259</v>
      </c>
      <c r="S189" s="16" t="n">
        <v>0.049</v>
      </c>
      <c r="T189" s="6" t="n">
        <v>0</v>
      </c>
    </row>
    <row r="190" customFormat="false" ht="15" hidden="false" customHeight="false" outlineLevel="0" collapsed="false">
      <c r="A190" s="15" t="s">
        <v>507</v>
      </c>
      <c r="B190" s="15" t="s">
        <v>508</v>
      </c>
      <c r="C190" s="15" t="s">
        <v>77</v>
      </c>
      <c r="D190" s="6" t="n">
        <v>77433</v>
      </c>
      <c r="E190" s="6" t="n">
        <v>16809</v>
      </c>
      <c r="F190" s="16" t="n">
        <v>0.217</v>
      </c>
      <c r="G190" s="16" t="n">
        <v>0.045</v>
      </c>
      <c r="H190" s="16" t="n">
        <v>0.153</v>
      </c>
      <c r="I190" s="16" t="n">
        <v>0.068</v>
      </c>
      <c r="J190" s="6" t="n">
        <v>10</v>
      </c>
      <c r="K190" s="6" t="n">
        <v>6</v>
      </c>
      <c r="L190" s="7" t="n">
        <f aca="false">K190-J190</f>
        <v>-4</v>
      </c>
      <c r="M190" s="10" t="n">
        <f aca="false">IF(J190=0,"",K190/J190-1)</f>
        <v>-0.4</v>
      </c>
      <c r="N190" s="17" t="n">
        <f aca="false">K190/D190*10000</f>
        <v>0.774863430320406</v>
      </c>
      <c r="O190" s="7" t="n">
        <f aca="false">IF(K190=0,"none",D190/K190)</f>
        <v>12905.5</v>
      </c>
      <c r="P190" s="7" t="n">
        <f aca="false">IF(K190=0,"none",E190/K190)</f>
        <v>2801.5</v>
      </c>
      <c r="Q190" s="16" t="n">
        <v>0.132</v>
      </c>
      <c r="R190" s="16" t="n">
        <v>0.381</v>
      </c>
      <c r="S190" s="16" t="n">
        <v>0.066</v>
      </c>
      <c r="T190" s="6" t="n">
        <v>0</v>
      </c>
    </row>
    <row r="191" customFormat="false" ht="15" hidden="false" customHeight="false" outlineLevel="0" collapsed="false">
      <c r="A191" s="15" t="s">
        <v>509</v>
      </c>
      <c r="B191" s="15" t="s">
        <v>510</v>
      </c>
      <c r="C191" s="15" t="s">
        <v>77</v>
      </c>
      <c r="D191" s="6" t="n">
        <v>4177</v>
      </c>
      <c r="E191" s="6" t="n">
        <v>1210</v>
      </c>
      <c r="F191" s="16" t="n">
        <v>0.29</v>
      </c>
      <c r="G191" s="16" t="n">
        <v>0.009</v>
      </c>
      <c r="H191" s="16" t="n">
        <v>0.369</v>
      </c>
      <c r="I191" s="16" t="n">
        <v>0.047</v>
      </c>
      <c r="J191" s="6" t="n">
        <v>0</v>
      </c>
      <c r="K191" s="6" t="n">
        <v>0</v>
      </c>
      <c r="L191" s="7" t="n">
        <f aca="false">K191-J191</f>
        <v>0</v>
      </c>
      <c r="M191" s="10" t="str">
        <f aca="false">IF(J191=0,"",K191/J191-1)</f>
        <v/>
      </c>
      <c r="N191" s="17" t="n">
        <f aca="false">K191/D191*10000</f>
        <v>0</v>
      </c>
      <c r="O191" s="7" t="str">
        <f aca="false">IF(K191=0,"none",D191/K191)</f>
        <v>none</v>
      </c>
      <c r="P191" s="7" t="str">
        <f aca="false">IF(K191=0,"none",E191/K191)</f>
        <v>none</v>
      </c>
      <c r="Q191" s="16" t="n">
        <v>0.184</v>
      </c>
      <c r="R191" s="16" t="n">
        <v>0.473</v>
      </c>
      <c r="S191" s="16" t="n">
        <v>0.088</v>
      </c>
      <c r="T191" s="6" t="n">
        <v>0</v>
      </c>
    </row>
    <row r="192" customFormat="false" ht="15" hidden="false" customHeight="false" outlineLevel="0" collapsed="false">
      <c r="A192" s="15" t="s">
        <v>511</v>
      </c>
      <c r="B192" s="15" t="s">
        <v>386</v>
      </c>
      <c r="C192" s="15" t="s">
        <v>77</v>
      </c>
      <c r="D192" s="6" t="n">
        <v>79761</v>
      </c>
      <c r="E192" s="6" t="n">
        <v>17681</v>
      </c>
      <c r="F192" s="16" t="n">
        <v>0.222</v>
      </c>
      <c r="G192" s="16" t="n">
        <v>0.036</v>
      </c>
      <c r="H192" s="16" t="n">
        <v>0.158</v>
      </c>
      <c r="I192" s="16" t="n">
        <v>0.061</v>
      </c>
      <c r="J192" s="6" t="n">
        <v>10</v>
      </c>
      <c r="K192" s="6" t="n">
        <v>11</v>
      </c>
      <c r="L192" s="7" t="n">
        <f aca="false">K192-J192</f>
        <v>1</v>
      </c>
      <c r="M192" s="10" t="n">
        <f aca="false">IF(J192=0,"",K192/J192-1)</f>
        <v>0.1</v>
      </c>
      <c r="N192" s="17" t="n">
        <f aca="false">K192/D192*10000</f>
        <v>1.37912012136257</v>
      </c>
      <c r="O192" s="7" t="n">
        <f aca="false">IF(K192=0,"none",D192/K192)</f>
        <v>7251</v>
      </c>
      <c r="P192" s="7" t="n">
        <f aca="false">IF(K192=0,"none",E192/K192)</f>
        <v>1607.36363636364</v>
      </c>
      <c r="Q192" s="16" t="n">
        <v>0.135</v>
      </c>
      <c r="R192" s="16" t="n">
        <v>0.378</v>
      </c>
      <c r="S192" s="16" t="n">
        <v>0.06</v>
      </c>
      <c r="T192" s="6" t="n">
        <v>0</v>
      </c>
    </row>
    <row r="193" customFormat="false" ht="15" hidden="false" customHeight="false" outlineLevel="0" collapsed="false">
      <c r="A193" s="15" t="s">
        <v>512</v>
      </c>
      <c r="B193" s="15" t="s">
        <v>513</v>
      </c>
      <c r="C193" s="15" t="s">
        <v>77</v>
      </c>
      <c r="D193" s="6" t="n">
        <v>6241</v>
      </c>
      <c r="E193" s="6" t="n">
        <v>1482</v>
      </c>
      <c r="F193" s="16" t="n">
        <v>0.237</v>
      </c>
      <c r="G193" s="16" t="n">
        <v>0.035</v>
      </c>
      <c r="H193" s="16" t="n">
        <v>0.148</v>
      </c>
      <c r="I193" s="16" t="n">
        <v>0.048</v>
      </c>
      <c r="J193" s="6" t="n">
        <v>2</v>
      </c>
      <c r="K193" s="6" t="n">
        <v>1</v>
      </c>
      <c r="L193" s="7" t="n">
        <f aca="false">K193-J193</f>
        <v>-1</v>
      </c>
      <c r="M193" s="10" t="n">
        <f aca="false">IF(J193=0,"",K193/J193-1)</f>
        <v>-0.5</v>
      </c>
      <c r="N193" s="17" t="n">
        <f aca="false">K193/D193*10000</f>
        <v>1.60230732254446</v>
      </c>
      <c r="O193" s="7" t="n">
        <f aca="false">IF(K193=0,"none",D193/K193)</f>
        <v>6241</v>
      </c>
      <c r="P193" s="7" t="n">
        <f aca="false">IF(K193=0,"none",E193/K193)</f>
        <v>1482</v>
      </c>
      <c r="Q193" s="16" t="n">
        <v>0.138</v>
      </c>
      <c r="R193" s="16" t="n">
        <v>0.4</v>
      </c>
      <c r="S193" s="16" t="n">
        <v>0.068</v>
      </c>
      <c r="T193" s="6" t="n">
        <v>0</v>
      </c>
    </row>
    <row r="194" customFormat="false" ht="15" hidden="false" customHeight="false" outlineLevel="0" collapsed="false">
      <c r="A194" s="15" t="s">
        <v>514</v>
      </c>
      <c r="B194" s="15" t="s">
        <v>515</v>
      </c>
      <c r="C194" s="15" t="s">
        <v>77</v>
      </c>
      <c r="D194" s="6" t="n">
        <v>33734</v>
      </c>
      <c r="E194" s="6" t="n">
        <v>7827</v>
      </c>
      <c r="F194" s="16" t="n">
        <v>0.232</v>
      </c>
      <c r="G194" s="16" t="n">
        <v>0.037</v>
      </c>
      <c r="H194" s="16" t="n">
        <v>0.128</v>
      </c>
      <c r="I194" s="16" t="n">
        <v>0.048</v>
      </c>
      <c r="J194" s="6" t="n">
        <v>3</v>
      </c>
      <c r="K194" s="6" t="n">
        <v>3</v>
      </c>
      <c r="L194" s="7" t="n">
        <f aca="false">K194-J194</f>
        <v>0</v>
      </c>
      <c r="M194" s="10" t="n">
        <f aca="false">IF(J194=0,"",K194/J194-1)</f>
        <v>0</v>
      </c>
      <c r="N194" s="17" t="n">
        <f aca="false">K194/D194*10000</f>
        <v>0.889310487935021</v>
      </c>
      <c r="O194" s="7" t="n">
        <f aca="false">IF(K194=0,"none",D194/K194)</f>
        <v>11244.6666666667</v>
      </c>
      <c r="P194" s="7" t="n">
        <f aca="false">IF(K194=0,"none",E194/K194)</f>
        <v>2609</v>
      </c>
      <c r="Q194" s="16" t="n">
        <v>0.13</v>
      </c>
      <c r="R194" s="16" t="n">
        <v>0.394</v>
      </c>
      <c r="S194" s="16" t="n">
        <v>0.056</v>
      </c>
      <c r="T194" s="6" t="n">
        <v>0</v>
      </c>
    </row>
    <row r="195" customFormat="false" ht="15" hidden="false" customHeight="false" outlineLevel="0" collapsed="false">
      <c r="A195" s="15" t="s">
        <v>516</v>
      </c>
      <c r="B195" s="15" t="s">
        <v>517</v>
      </c>
      <c r="C195" s="15" t="s">
        <v>77</v>
      </c>
      <c r="D195" s="6" t="n">
        <v>17036</v>
      </c>
      <c r="E195" s="6" t="n">
        <v>4000</v>
      </c>
      <c r="F195" s="16" t="n">
        <v>0.235</v>
      </c>
      <c r="G195" s="16" t="n">
        <v>0.103</v>
      </c>
      <c r="H195" s="16" t="n">
        <v>0.31</v>
      </c>
      <c r="I195" s="16" t="n">
        <v>0.137</v>
      </c>
      <c r="J195" s="6" t="n">
        <v>5</v>
      </c>
      <c r="K195" s="6" t="n">
        <v>6</v>
      </c>
      <c r="L195" s="7" t="n">
        <f aca="false">K195-J195</f>
        <v>1</v>
      </c>
      <c r="M195" s="10" t="n">
        <f aca="false">IF(J195=0,"",K195/J195-1)</f>
        <v>0.2</v>
      </c>
      <c r="N195" s="17" t="n">
        <f aca="false">K195/D195*10000</f>
        <v>3.52195351021367</v>
      </c>
      <c r="O195" s="7" t="n">
        <f aca="false">IF(K195=0,"none",D195/K195)</f>
        <v>2839.33333333333</v>
      </c>
      <c r="P195" s="7" t="n">
        <f aca="false">IF(K195=0,"none",E195/K195)</f>
        <v>666.666666666667</v>
      </c>
      <c r="Q195" s="16" t="n">
        <v>0.148</v>
      </c>
      <c r="R195" s="16" t="n">
        <v>0.41</v>
      </c>
      <c r="S195" s="16" t="n">
        <v>0.086</v>
      </c>
      <c r="T195" s="6" t="n">
        <v>0</v>
      </c>
    </row>
    <row r="196" customFormat="false" ht="15" hidden="false" customHeight="false" outlineLevel="0" collapsed="false">
      <c r="A196" s="15" t="s">
        <v>518</v>
      </c>
      <c r="B196" s="15" t="s">
        <v>519</v>
      </c>
      <c r="C196" s="15" t="s">
        <v>77</v>
      </c>
      <c r="D196" s="6" t="n">
        <v>15965</v>
      </c>
      <c r="E196" s="6" t="n">
        <v>3497</v>
      </c>
      <c r="F196" s="16" t="n">
        <v>0.219</v>
      </c>
      <c r="G196" s="16" t="n">
        <v>0.076</v>
      </c>
      <c r="H196" s="16" t="n">
        <v>0.272</v>
      </c>
      <c r="I196" s="16" t="n">
        <v>0.079</v>
      </c>
      <c r="J196" s="6" t="n">
        <v>1</v>
      </c>
      <c r="K196" s="6" t="n">
        <v>0</v>
      </c>
      <c r="L196" s="7" t="n">
        <f aca="false">K196-J196</f>
        <v>-1</v>
      </c>
      <c r="M196" s="10" t="n">
        <f aca="false">IF(J196=0,"",K196/J196-1)</f>
        <v>-1</v>
      </c>
      <c r="N196" s="17" t="n">
        <f aca="false">K196/D196*10000</f>
        <v>0</v>
      </c>
      <c r="O196" s="7" t="str">
        <f aca="false">IF(K196=0,"none",D196/K196)</f>
        <v>none</v>
      </c>
      <c r="P196" s="7" t="str">
        <f aca="false">IF(K196=0,"none",E196/K196)</f>
        <v>none</v>
      </c>
      <c r="Q196" s="16" t="n">
        <v>0.182</v>
      </c>
      <c r="R196" s="16" t="n">
        <v>0.456</v>
      </c>
      <c r="S196" s="16" t="n">
        <v>0.124</v>
      </c>
      <c r="T196" s="6" t="n">
        <v>0</v>
      </c>
    </row>
    <row r="197" customFormat="false" ht="15" hidden="false" customHeight="false" outlineLevel="0" collapsed="false">
      <c r="A197" s="15" t="s">
        <v>520</v>
      </c>
      <c r="B197" s="15" t="s">
        <v>521</v>
      </c>
      <c r="C197" s="15" t="s">
        <v>77</v>
      </c>
      <c r="D197" s="6" t="n">
        <v>20246</v>
      </c>
      <c r="E197" s="6" t="n">
        <v>4666</v>
      </c>
      <c r="F197" s="16" t="n">
        <v>0.23</v>
      </c>
      <c r="G197" s="16" t="n">
        <v>0.049</v>
      </c>
      <c r="H197" s="16" t="n">
        <v>0.376</v>
      </c>
      <c r="I197" s="16" t="n">
        <v>0.072</v>
      </c>
      <c r="J197" s="6" t="n">
        <v>8</v>
      </c>
      <c r="K197" s="6" t="n">
        <v>4</v>
      </c>
      <c r="L197" s="7" t="n">
        <f aca="false">K197-J197</f>
        <v>-4</v>
      </c>
      <c r="M197" s="10" t="n">
        <f aca="false">IF(J197=0,"",K197/J197-1)</f>
        <v>-0.5</v>
      </c>
      <c r="N197" s="17" t="n">
        <f aca="false">K197/D197*10000</f>
        <v>1.97569890348711</v>
      </c>
      <c r="O197" s="7" t="n">
        <f aca="false">IF(K197=0,"none",D197/K197)</f>
        <v>5061.5</v>
      </c>
      <c r="P197" s="7" t="n">
        <f aca="false">IF(K197=0,"none",E197/K197)</f>
        <v>1166.5</v>
      </c>
      <c r="Q197" s="16" t="n">
        <v>0.174</v>
      </c>
      <c r="R197" s="16" t="n">
        <v>0.442</v>
      </c>
      <c r="S197" s="16" t="n">
        <v>0.1</v>
      </c>
      <c r="T197" s="6" t="n">
        <v>0</v>
      </c>
    </row>
    <row r="198" customFormat="false" ht="15" hidden="false" customHeight="false" outlineLevel="0" collapsed="false">
      <c r="A198" s="15" t="s">
        <v>522</v>
      </c>
      <c r="B198" s="15" t="s">
        <v>523</v>
      </c>
      <c r="C198" s="15" t="s">
        <v>77</v>
      </c>
      <c r="D198" s="6" t="n">
        <v>16869</v>
      </c>
      <c r="E198" s="6" t="n">
        <v>3340</v>
      </c>
      <c r="F198" s="16" t="n">
        <v>0.198</v>
      </c>
      <c r="G198" s="16" t="n">
        <v>0.064</v>
      </c>
      <c r="H198" s="16" t="n">
        <v>0.247</v>
      </c>
      <c r="I198" s="16" t="n">
        <v>0.11</v>
      </c>
      <c r="J198" s="6" t="n">
        <v>1</v>
      </c>
      <c r="K198" s="6" t="n">
        <v>0</v>
      </c>
      <c r="L198" s="7" t="n">
        <f aca="false">K198-J198</f>
        <v>-1</v>
      </c>
      <c r="M198" s="10" t="n">
        <f aca="false">IF(J198=0,"",K198/J198-1)</f>
        <v>-1</v>
      </c>
      <c r="N198" s="17" t="n">
        <f aca="false">K198/D198*10000</f>
        <v>0</v>
      </c>
      <c r="O198" s="7" t="str">
        <f aca="false">IF(K198=0,"none",D198/K198)</f>
        <v>none</v>
      </c>
      <c r="P198" s="7" t="str">
        <f aca="false">IF(K198=0,"none",E198/K198)</f>
        <v>none</v>
      </c>
      <c r="Q198" s="16" t="n">
        <v>0.166</v>
      </c>
      <c r="R198" s="16" t="n">
        <v>0.436</v>
      </c>
      <c r="S198" s="16" t="n">
        <v>0.103</v>
      </c>
      <c r="T198" s="6" t="n">
        <v>0</v>
      </c>
    </row>
    <row r="199" customFormat="false" ht="15" hidden="false" customHeight="false" outlineLevel="0" collapsed="false">
      <c r="A199" s="15" t="s">
        <v>524</v>
      </c>
      <c r="B199" s="15" t="s">
        <v>525</v>
      </c>
      <c r="C199" s="15" t="s">
        <v>77</v>
      </c>
      <c r="D199" s="6" t="n">
        <v>6639</v>
      </c>
      <c r="E199" s="6" t="n">
        <v>1186</v>
      </c>
      <c r="F199" s="16" t="n">
        <v>0.179</v>
      </c>
      <c r="G199" s="16" t="n">
        <v>0.05</v>
      </c>
      <c r="H199" s="16" t="n">
        <v>0.293</v>
      </c>
      <c r="I199" s="16" t="n">
        <v>0.064</v>
      </c>
      <c r="J199" s="6" t="n">
        <v>3</v>
      </c>
      <c r="K199" s="6" t="n">
        <v>3</v>
      </c>
      <c r="L199" s="7" t="n">
        <f aca="false">K199-J199</f>
        <v>0</v>
      </c>
      <c r="M199" s="10" t="n">
        <f aca="false">IF(J199=0,"",K199/J199-1)</f>
        <v>0</v>
      </c>
      <c r="N199" s="17" t="n">
        <f aca="false">K199/D199*10000</f>
        <v>4.51875282422052</v>
      </c>
      <c r="O199" s="7" t="n">
        <f aca="false">IF(K199=0,"none",D199/K199)</f>
        <v>2213</v>
      </c>
      <c r="P199" s="7" t="n">
        <f aca="false">IF(K199=0,"none",E199/K199)</f>
        <v>395.333333333333</v>
      </c>
      <c r="Q199" s="16" t="n">
        <v>0.129</v>
      </c>
      <c r="R199" s="16" t="n">
        <v>0.362</v>
      </c>
      <c r="S199" s="16" t="n">
        <v>0.091</v>
      </c>
      <c r="T199" s="6" t="n">
        <v>0</v>
      </c>
    </row>
    <row r="200" customFormat="false" ht="15" hidden="false" customHeight="false" outlineLevel="0" collapsed="false">
      <c r="A200" s="15" t="s">
        <v>526</v>
      </c>
      <c r="B200" s="15" t="s">
        <v>527</v>
      </c>
      <c r="C200" s="15" t="s">
        <v>77</v>
      </c>
      <c r="D200" s="6" t="n">
        <v>55518</v>
      </c>
      <c r="E200" s="6" t="n">
        <v>11468</v>
      </c>
      <c r="F200" s="16" t="n">
        <v>0.207</v>
      </c>
      <c r="G200" s="16" t="n">
        <v>0.052</v>
      </c>
      <c r="H200" s="16" t="n">
        <v>0.218</v>
      </c>
      <c r="I200" s="16" t="n">
        <v>0.065</v>
      </c>
      <c r="J200" s="6" t="n">
        <v>11</v>
      </c>
      <c r="K200" s="6" t="n">
        <v>10</v>
      </c>
      <c r="L200" s="7" t="n">
        <f aca="false">K200-J200</f>
        <v>-1</v>
      </c>
      <c r="M200" s="10" t="n">
        <f aca="false">IF(J200=0,"",K200/J200-1)</f>
        <v>-0.0909090909090909</v>
      </c>
      <c r="N200" s="17" t="n">
        <f aca="false">K200/D200*10000</f>
        <v>1.80121762311322</v>
      </c>
      <c r="O200" s="7" t="n">
        <f aca="false">IF(K200=0,"none",D200/K200)</f>
        <v>5551.8</v>
      </c>
      <c r="P200" s="7" t="n">
        <f aca="false">IF(K200=0,"none",E200/K200)</f>
        <v>1146.8</v>
      </c>
      <c r="Q200" s="16" t="n">
        <v>0.142</v>
      </c>
      <c r="R200" s="16" t="n">
        <v>0.393</v>
      </c>
      <c r="S200" s="16" t="n">
        <v>0.078</v>
      </c>
      <c r="T200" s="6" t="n">
        <v>0</v>
      </c>
    </row>
    <row r="201" customFormat="false" ht="15" hidden="false" customHeight="false" outlineLevel="0" collapsed="false">
      <c r="A201" s="15" t="s">
        <v>528</v>
      </c>
      <c r="B201" s="15" t="s">
        <v>184</v>
      </c>
      <c r="C201" s="15" t="s">
        <v>77</v>
      </c>
      <c r="D201" s="6" t="n">
        <v>31181</v>
      </c>
      <c r="E201" s="6" t="n">
        <v>5114</v>
      </c>
      <c r="F201" s="16" t="n">
        <v>0.164</v>
      </c>
      <c r="G201" s="16" t="n">
        <v>0.05</v>
      </c>
      <c r="H201" s="16" t="n">
        <v>0.154</v>
      </c>
      <c r="I201" s="16" t="n">
        <v>0.067</v>
      </c>
      <c r="J201" s="6" t="n">
        <v>4</v>
      </c>
      <c r="K201" s="6" t="n">
        <v>4</v>
      </c>
      <c r="L201" s="7" t="n">
        <f aca="false">K201-J201</f>
        <v>0</v>
      </c>
      <c r="M201" s="10" t="n">
        <f aca="false">IF(J201=0,"",K201/J201-1)</f>
        <v>0</v>
      </c>
      <c r="N201" s="17" t="n">
        <f aca="false">K201/D201*10000</f>
        <v>1.28283249414708</v>
      </c>
      <c r="O201" s="7" t="n">
        <f aca="false">IF(K201=0,"none",D201/K201)</f>
        <v>7795.25</v>
      </c>
      <c r="P201" s="7" t="n">
        <f aca="false">IF(K201=0,"none",E201/K201)</f>
        <v>1278.5</v>
      </c>
      <c r="Q201" s="16" t="n">
        <v>0.14</v>
      </c>
      <c r="R201" s="16" t="n">
        <v>0.394</v>
      </c>
      <c r="S201" s="16" t="n">
        <v>0.086</v>
      </c>
      <c r="T201" s="6" t="n">
        <v>0</v>
      </c>
    </row>
    <row r="202" customFormat="false" ht="15" hidden="false" customHeight="false" outlineLevel="0" collapsed="false">
      <c r="A202" s="15" t="s">
        <v>529</v>
      </c>
      <c r="B202" s="15" t="s">
        <v>186</v>
      </c>
      <c r="C202" s="15" t="s">
        <v>77</v>
      </c>
      <c r="D202" s="6" t="n">
        <v>29126</v>
      </c>
      <c r="E202" s="6" t="n">
        <v>7320</v>
      </c>
      <c r="F202" s="16" t="n">
        <v>0.251</v>
      </c>
      <c r="G202" s="16" t="n">
        <v>0.042</v>
      </c>
      <c r="H202" s="16" t="n">
        <v>0.253</v>
      </c>
      <c r="I202" s="16" t="n">
        <v>0.091</v>
      </c>
      <c r="J202" s="6" t="n">
        <v>3</v>
      </c>
      <c r="K202" s="6" t="n">
        <v>3</v>
      </c>
      <c r="L202" s="7" t="n">
        <f aca="false">K202-J202</f>
        <v>0</v>
      </c>
      <c r="M202" s="10" t="n">
        <f aca="false">IF(J202=0,"",K202/J202-1)</f>
        <v>0</v>
      </c>
      <c r="N202" s="17" t="n">
        <f aca="false">K202/D202*10000</f>
        <v>1.03000755338873</v>
      </c>
      <c r="O202" s="7" t="n">
        <f aca="false">IF(K202=0,"none",D202/K202)</f>
        <v>9708.66666666667</v>
      </c>
      <c r="P202" s="7" t="n">
        <f aca="false">IF(K202=0,"none",E202/K202)</f>
        <v>2440</v>
      </c>
      <c r="Q202" s="16" t="n">
        <v>0.159</v>
      </c>
      <c r="R202" s="16" t="n">
        <v>0.434</v>
      </c>
      <c r="S202" s="16" t="n">
        <v>0.08</v>
      </c>
      <c r="T202" s="6" t="n">
        <v>0</v>
      </c>
    </row>
    <row r="203" customFormat="false" ht="15" hidden="false" customHeight="false" outlineLevel="0" collapsed="false">
      <c r="A203" s="15" t="s">
        <v>530</v>
      </c>
      <c r="B203" s="15" t="s">
        <v>531</v>
      </c>
      <c r="C203" s="15" t="s">
        <v>77</v>
      </c>
      <c r="D203" s="6" t="n">
        <v>6760</v>
      </c>
      <c r="E203" s="6" t="n">
        <v>1731</v>
      </c>
      <c r="F203" s="16" t="n">
        <v>0.256</v>
      </c>
      <c r="G203" s="16" t="n">
        <v>0.064</v>
      </c>
      <c r="H203" s="16" t="n">
        <v>0.197</v>
      </c>
      <c r="I203" s="16" t="n">
        <v>0.063</v>
      </c>
      <c r="J203" s="6" t="n">
        <v>0</v>
      </c>
      <c r="K203" s="6" t="n">
        <v>0</v>
      </c>
      <c r="L203" s="7" t="n">
        <f aca="false">K203-J203</f>
        <v>0</v>
      </c>
      <c r="M203" s="10" t="str">
        <f aca="false">IF(J203=0,"",K203/J203-1)</f>
        <v/>
      </c>
      <c r="N203" s="17" t="n">
        <f aca="false">K203/D203*10000</f>
        <v>0</v>
      </c>
      <c r="O203" s="7" t="str">
        <f aca="false">IF(K203=0,"none",D203/K203)</f>
        <v>none</v>
      </c>
      <c r="P203" s="7" t="str">
        <f aca="false">IF(K203=0,"none",E203/K203)</f>
        <v>none</v>
      </c>
      <c r="Q203" s="16" t="n">
        <v>0.194</v>
      </c>
      <c r="R203" s="16" t="n">
        <v>0.477</v>
      </c>
      <c r="S203" s="16" t="n">
        <v>0.099</v>
      </c>
      <c r="T203" s="6" t="n">
        <v>0</v>
      </c>
    </row>
    <row r="204" customFormat="false" ht="15" hidden="false" customHeight="false" outlineLevel="0" collapsed="false">
      <c r="A204" s="15" t="s">
        <v>532</v>
      </c>
      <c r="B204" s="15" t="s">
        <v>533</v>
      </c>
      <c r="C204" s="15" t="s">
        <v>77</v>
      </c>
      <c r="D204" s="6" t="n">
        <v>11563</v>
      </c>
      <c r="E204" s="6" t="n">
        <v>2580</v>
      </c>
      <c r="F204" s="16" t="n">
        <v>0.223</v>
      </c>
      <c r="G204" s="16" t="n">
        <v>0.08</v>
      </c>
      <c r="H204" s="16" t="n">
        <v>0.299</v>
      </c>
      <c r="I204" s="16" t="n">
        <v>0.089</v>
      </c>
      <c r="J204" s="6" t="n">
        <v>2</v>
      </c>
      <c r="K204" s="6" t="n">
        <v>2</v>
      </c>
      <c r="L204" s="7" t="n">
        <f aca="false">K204-J204</f>
        <v>0</v>
      </c>
      <c r="M204" s="10" t="n">
        <f aca="false">IF(J204=0,"",K204/J204-1)</f>
        <v>0</v>
      </c>
      <c r="N204" s="17" t="n">
        <f aca="false">K204/D204*10000</f>
        <v>1.7296549338407</v>
      </c>
      <c r="O204" s="7" t="n">
        <f aca="false">IF(K204=0,"none",D204/K204)</f>
        <v>5781.5</v>
      </c>
      <c r="P204" s="7" t="n">
        <f aca="false">IF(K204=0,"none",E204/K204)</f>
        <v>1290</v>
      </c>
      <c r="Q204" s="16" t="n">
        <v>0.186</v>
      </c>
      <c r="R204" s="16" t="n">
        <v>0.452</v>
      </c>
      <c r="S204" s="16" t="n">
        <v>0.11</v>
      </c>
      <c r="T204" s="6" t="n">
        <v>0</v>
      </c>
    </row>
    <row r="205" customFormat="false" ht="15" hidden="false" customHeight="false" outlineLevel="0" collapsed="false">
      <c r="A205" s="15" t="s">
        <v>534</v>
      </c>
      <c r="B205" s="15" t="s">
        <v>535</v>
      </c>
      <c r="C205" s="15" t="s">
        <v>77</v>
      </c>
      <c r="D205" s="6" t="n">
        <v>46289</v>
      </c>
      <c r="E205" s="6" t="n">
        <v>5853</v>
      </c>
      <c r="F205" s="16" t="n">
        <v>0.126</v>
      </c>
      <c r="G205" s="16" t="n">
        <v>0.118</v>
      </c>
      <c r="H205" s="16" t="n">
        <v>0.301</v>
      </c>
      <c r="I205" s="16" t="n">
        <v>0.063</v>
      </c>
      <c r="J205" s="6" t="n">
        <v>14</v>
      </c>
      <c r="K205" s="6" t="n">
        <v>14</v>
      </c>
      <c r="L205" s="7" t="n">
        <f aca="false">K205-J205</f>
        <v>0</v>
      </c>
      <c r="M205" s="10" t="n">
        <f aca="false">IF(J205=0,"",K205/J205-1)</f>
        <v>0</v>
      </c>
      <c r="N205" s="17" t="n">
        <f aca="false">K205/D205*10000</f>
        <v>3.02447665752123</v>
      </c>
      <c r="O205" s="7" t="n">
        <f aca="false">IF(K205=0,"none",D205/K205)</f>
        <v>3306.35714285714</v>
      </c>
      <c r="P205" s="7" t="n">
        <f aca="false">IF(K205=0,"none",E205/K205)</f>
        <v>418.071428571429</v>
      </c>
      <c r="Q205" s="16" t="n">
        <v>0.104</v>
      </c>
      <c r="R205" s="16" t="n">
        <v>0.302</v>
      </c>
      <c r="S205" s="16" t="n">
        <v>0.08</v>
      </c>
      <c r="T205" s="6" t="n">
        <v>0</v>
      </c>
    </row>
    <row r="206" customFormat="false" ht="15" hidden="false" customHeight="false" outlineLevel="0" collapsed="false">
      <c r="A206" s="15" t="s">
        <v>536</v>
      </c>
      <c r="B206" s="15" t="s">
        <v>537</v>
      </c>
      <c r="C206" s="15" t="s">
        <v>77</v>
      </c>
      <c r="D206" s="6" t="n">
        <v>249377</v>
      </c>
      <c r="E206" s="6" t="n">
        <v>34375</v>
      </c>
      <c r="F206" s="16" t="n">
        <v>0.138</v>
      </c>
      <c r="G206" s="16" t="n">
        <v>0.044</v>
      </c>
      <c r="H206" s="16" t="n">
        <v>0.132</v>
      </c>
      <c r="I206" s="16" t="n">
        <v>0.067</v>
      </c>
      <c r="J206" s="6" t="n">
        <v>37</v>
      </c>
      <c r="K206" s="6" t="n">
        <v>35</v>
      </c>
      <c r="L206" s="7" t="n">
        <f aca="false">K206-J206</f>
        <v>-2</v>
      </c>
      <c r="M206" s="10" t="n">
        <f aca="false">IF(J206=0,"",K206/J206-1)</f>
        <v>-0.0540540540540541</v>
      </c>
      <c r="N206" s="17" t="n">
        <f aca="false">K206/D206*10000</f>
        <v>1.4034975158094</v>
      </c>
      <c r="O206" s="7" t="n">
        <f aca="false">IF(K206=0,"none",D206/K206)</f>
        <v>7125.05714285714</v>
      </c>
      <c r="P206" s="7" t="n">
        <f aca="false">IF(K206=0,"none",E206/K206)</f>
        <v>982.142857142857</v>
      </c>
      <c r="Q206" s="16" t="n">
        <v>0.128</v>
      </c>
      <c r="R206" s="16" t="n">
        <v>0.365</v>
      </c>
      <c r="S206" s="16" t="n">
        <v>0.077</v>
      </c>
      <c r="T206" s="6" t="n">
        <v>0</v>
      </c>
    </row>
    <row r="207" customFormat="false" ht="15" hidden="false" customHeight="false" outlineLevel="0" collapsed="false">
      <c r="A207" s="15" t="s">
        <v>538</v>
      </c>
      <c r="B207" s="15" t="s">
        <v>539</v>
      </c>
      <c r="C207" s="15" t="s">
        <v>77</v>
      </c>
      <c r="D207" s="6" t="n">
        <v>366019</v>
      </c>
      <c r="E207" s="6" t="n">
        <v>56897</v>
      </c>
      <c r="F207" s="16" t="n">
        <v>0.155</v>
      </c>
      <c r="G207" s="16" t="n">
        <v>0.031</v>
      </c>
      <c r="H207" s="16" t="n">
        <v>0.115</v>
      </c>
      <c r="I207" s="16" t="n">
        <v>0.073</v>
      </c>
      <c r="J207" s="6" t="n">
        <v>69</v>
      </c>
      <c r="K207" s="6" t="n">
        <v>67</v>
      </c>
      <c r="L207" s="7" t="n">
        <f aca="false">K207-J207</f>
        <v>-2</v>
      </c>
      <c r="M207" s="10" t="n">
        <f aca="false">IF(J207=0,"",K207/J207-1)</f>
        <v>-0.0289855072463768</v>
      </c>
      <c r="N207" s="17" t="n">
        <f aca="false">K207/D207*10000</f>
        <v>1.83050606662496</v>
      </c>
      <c r="O207" s="7" t="n">
        <f aca="false">IF(K207=0,"none",D207/K207)</f>
        <v>5462.97014925373</v>
      </c>
      <c r="P207" s="7" t="n">
        <f aca="false">IF(K207=0,"none",E207/K207)</f>
        <v>849.208955223881</v>
      </c>
      <c r="Q207" s="16" t="n">
        <v>0.124</v>
      </c>
      <c r="R207" s="16" t="n">
        <v>0.365</v>
      </c>
      <c r="S207" s="16" t="n">
        <v>0.069</v>
      </c>
      <c r="T207" s="6" t="n">
        <v>0</v>
      </c>
    </row>
    <row r="208" customFormat="false" ht="15" hidden="false" customHeight="false" outlineLevel="0" collapsed="false">
      <c r="A208" s="15" t="s">
        <v>540</v>
      </c>
      <c r="B208" s="15" t="s">
        <v>541</v>
      </c>
      <c r="C208" s="15" t="s">
        <v>77</v>
      </c>
      <c r="D208" s="6" t="n">
        <v>14882</v>
      </c>
      <c r="E208" s="6" t="n">
        <v>3196</v>
      </c>
      <c r="F208" s="16" t="n">
        <v>0.215</v>
      </c>
      <c r="G208" s="16" t="n">
        <v>0.02</v>
      </c>
      <c r="H208" s="16" t="n">
        <v>0.091</v>
      </c>
      <c r="I208" s="16" t="n">
        <v>0.06</v>
      </c>
      <c r="J208" s="6" t="n">
        <v>1</v>
      </c>
      <c r="K208" s="6" t="n">
        <v>1</v>
      </c>
      <c r="L208" s="7" t="n">
        <f aca="false">K208-J208</f>
        <v>0</v>
      </c>
      <c r="M208" s="10" t="n">
        <f aca="false">IF(J208=0,"",K208/J208-1)</f>
        <v>0</v>
      </c>
      <c r="N208" s="17" t="n">
        <f aca="false">K208/D208*10000</f>
        <v>0.671952694530305</v>
      </c>
      <c r="O208" s="7" t="n">
        <f aca="false">IF(K208=0,"none",D208/K208)</f>
        <v>14882</v>
      </c>
      <c r="P208" s="7" t="n">
        <f aca="false">IF(K208=0,"none",E208/K208)</f>
        <v>3196</v>
      </c>
      <c r="Q208" s="16" t="n">
        <v>0.122</v>
      </c>
      <c r="R208" s="16" t="n">
        <v>0.371</v>
      </c>
      <c r="S208" s="16" t="n">
        <v>0.054</v>
      </c>
      <c r="T208" s="6" t="n">
        <v>0</v>
      </c>
    </row>
    <row r="209" customFormat="false" ht="15" hidden="false" customHeight="false" outlineLevel="0" collapsed="false">
      <c r="A209" s="15" t="s">
        <v>542</v>
      </c>
      <c r="B209" s="15" t="s">
        <v>543</v>
      </c>
      <c r="C209" s="15" t="s">
        <v>77</v>
      </c>
      <c r="D209" s="6" t="n">
        <v>18158</v>
      </c>
      <c r="E209" s="6" t="n">
        <v>3405</v>
      </c>
      <c r="F209" s="16" t="n">
        <v>0.188</v>
      </c>
      <c r="G209" s="16" t="n">
        <v>0.066</v>
      </c>
      <c r="H209" s="16" t="n">
        <v>0.145</v>
      </c>
      <c r="I209" s="16" t="n">
        <v>0.073</v>
      </c>
      <c r="J209" s="6" t="n">
        <v>8</v>
      </c>
      <c r="K209" s="6" t="n">
        <v>6</v>
      </c>
      <c r="L209" s="7" t="n">
        <f aca="false">K209-J209</f>
        <v>-2</v>
      </c>
      <c r="M209" s="10" t="n">
        <f aca="false">IF(J209=0,"",K209/J209-1)</f>
        <v>-0.25</v>
      </c>
      <c r="N209" s="17" t="n">
        <f aca="false">K209/D209*10000</f>
        <v>3.30432867055843</v>
      </c>
      <c r="O209" s="7" t="n">
        <f aca="false">IF(K209=0,"none",D209/K209)</f>
        <v>3026.33333333333</v>
      </c>
      <c r="P209" s="7" t="n">
        <f aca="false">IF(K209=0,"none",E209/K209)</f>
        <v>567.5</v>
      </c>
      <c r="Q209" s="16" t="n">
        <v>0.123</v>
      </c>
      <c r="R209" s="16" t="n">
        <v>0.364</v>
      </c>
      <c r="S209" s="16" t="n">
        <v>0.073</v>
      </c>
      <c r="T209" s="6" t="n">
        <v>0</v>
      </c>
    </row>
    <row r="210" customFormat="false" ht="15" hidden="false" customHeight="false" outlineLevel="0" collapsed="false">
      <c r="A210" s="15" t="s">
        <v>544</v>
      </c>
      <c r="B210" s="15" t="s">
        <v>545</v>
      </c>
      <c r="C210" s="15" t="s">
        <v>77</v>
      </c>
      <c r="D210" s="6" t="n">
        <v>5722</v>
      </c>
      <c r="E210" s="6" t="n">
        <v>1092</v>
      </c>
      <c r="F210" s="16" t="n">
        <v>0.191</v>
      </c>
      <c r="G210" s="16" t="n">
        <v>0.085</v>
      </c>
      <c r="H210" s="16" t="n">
        <v>0.257</v>
      </c>
      <c r="I210" s="16" t="n">
        <v>0.084</v>
      </c>
      <c r="J210" s="6" t="n">
        <v>2</v>
      </c>
      <c r="K210" s="6" t="n">
        <v>3</v>
      </c>
      <c r="L210" s="7" t="n">
        <f aca="false">K210-J210</f>
        <v>1</v>
      </c>
      <c r="M210" s="10" t="n">
        <f aca="false">IF(J210=0,"",K210/J210-1)</f>
        <v>0.5</v>
      </c>
      <c r="N210" s="17" t="n">
        <f aca="false">K210/D210*10000</f>
        <v>5.24292205522545</v>
      </c>
      <c r="O210" s="7" t="n">
        <f aca="false">IF(K210=0,"none",D210/K210)</f>
        <v>1907.33333333333</v>
      </c>
      <c r="P210" s="7" t="n">
        <f aca="false">IF(K210=0,"none",E210/K210)</f>
        <v>364</v>
      </c>
      <c r="Q210" s="16" t="n">
        <v>0.166</v>
      </c>
      <c r="R210" s="16" t="n">
        <v>0.424</v>
      </c>
      <c r="S210" s="16" t="n">
        <v>0.104</v>
      </c>
      <c r="T210" s="6" t="n">
        <v>0</v>
      </c>
    </row>
    <row r="211" customFormat="false" ht="15" hidden="false" customHeight="false" outlineLevel="0" collapsed="false">
      <c r="A211" s="15" t="s">
        <v>546</v>
      </c>
      <c r="B211" s="15" t="s">
        <v>547</v>
      </c>
      <c r="C211" s="15" t="s">
        <v>77</v>
      </c>
      <c r="D211" s="6" t="n">
        <v>4898</v>
      </c>
      <c r="E211" s="6" t="n">
        <v>941</v>
      </c>
      <c r="F211" s="16" t="n">
        <v>0.192</v>
      </c>
      <c r="G211" s="16" t="n">
        <v>0.047</v>
      </c>
      <c r="H211" s="16" t="n">
        <v>0.14</v>
      </c>
      <c r="I211" s="16" t="n">
        <v>0.029</v>
      </c>
      <c r="J211" s="6" t="n">
        <v>1</v>
      </c>
      <c r="K211" s="6" t="n">
        <v>1</v>
      </c>
      <c r="L211" s="7" t="n">
        <f aca="false">K211-J211</f>
        <v>0</v>
      </c>
      <c r="M211" s="10" t="n">
        <f aca="false">IF(J211=0,"",K211/J211-1)</f>
        <v>0</v>
      </c>
      <c r="N211" s="17" t="n">
        <f aca="false">K211/D211*10000</f>
        <v>2.04164965291956</v>
      </c>
      <c r="O211" s="7" t="n">
        <f aca="false">IF(K211=0,"none",D211/K211)</f>
        <v>4898</v>
      </c>
      <c r="P211" s="7" t="n">
        <f aca="false">IF(K211=0,"none",E211/K211)</f>
        <v>941</v>
      </c>
      <c r="Q211" s="16" t="n">
        <v>0.143</v>
      </c>
      <c r="R211" s="16" t="n">
        <v>0.407</v>
      </c>
      <c r="S211" s="16" t="n">
        <v>0.065</v>
      </c>
      <c r="T211" s="6" t="n">
        <v>0</v>
      </c>
    </row>
    <row r="212" customFormat="false" ht="15" hidden="false" customHeight="false" outlineLevel="0" collapsed="false">
      <c r="A212" s="15" t="s">
        <v>548</v>
      </c>
      <c r="B212" s="15" t="s">
        <v>549</v>
      </c>
      <c r="C212" s="15" t="s">
        <v>77</v>
      </c>
      <c r="D212" s="6" t="n">
        <v>52822</v>
      </c>
      <c r="E212" s="6" t="n">
        <v>8531</v>
      </c>
      <c r="F212" s="16" t="n">
        <v>0.162</v>
      </c>
      <c r="G212" s="16" t="n">
        <v>0.034</v>
      </c>
      <c r="H212" s="16" t="n">
        <v>0.129</v>
      </c>
      <c r="I212" s="16" t="n">
        <v>0.094</v>
      </c>
      <c r="J212" s="6" t="n">
        <v>10</v>
      </c>
      <c r="K212" s="6" t="n">
        <v>9</v>
      </c>
      <c r="L212" s="7" t="n">
        <f aca="false">K212-J212</f>
        <v>-1</v>
      </c>
      <c r="M212" s="10" t="n">
        <f aca="false">IF(J212=0,"",K212/J212-1)</f>
        <v>-0.1</v>
      </c>
      <c r="N212" s="17" t="n">
        <f aca="false">K212/D212*10000</f>
        <v>1.70383552307751</v>
      </c>
      <c r="O212" s="7" t="n">
        <f aca="false">IF(K212=0,"none",D212/K212)</f>
        <v>5869.11111111111</v>
      </c>
      <c r="P212" s="7" t="n">
        <f aca="false">IF(K212=0,"none",E212/K212)</f>
        <v>947.888888888889</v>
      </c>
      <c r="Q212" s="16" t="n">
        <v>0.128</v>
      </c>
      <c r="R212" s="16" t="n">
        <v>0.374</v>
      </c>
      <c r="S212" s="16" t="n">
        <v>0.075</v>
      </c>
      <c r="T212" s="6" t="n">
        <v>0</v>
      </c>
    </row>
    <row r="213" customFormat="false" ht="15" hidden="false" customHeight="false" outlineLevel="0" collapsed="false">
      <c r="A213" s="15" t="s">
        <v>550</v>
      </c>
      <c r="B213" s="15" t="s">
        <v>231</v>
      </c>
      <c r="C213" s="15" t="s">
        <v>77</v>
      </c>
      <c r="D213" s="6" t="n">
        <v>9697</v>
      </c>
      <c r="E213" s="6" t="n">
        <v>2201</v>
      </c>
      <c r="F213" s="16" t="n">
        <v>0.227</v>
      </c>
      <c r="G213" s="16" t="n">
        <v>0.069</v>
      </c>
      <c r="H213" s="16" t="n">
        <v>0.151</v>
      </c>
      <c r="I213" s="16" t="n">
        <v>0.086</v>
      </c>
      <c r="J213" s="6" t="n">
        <v>2</v>
      </c>
      <c r="K213" s="6" t="n">
        <v>1</v>
      </c>
      <c r="L213" s="7" t="n">
        <f aca="false">K213-J213</f>
        <v>-1</v>
      </c>
      <c r="M213" s="10" t="n">
        <f aca="false">IF(J213=0,"",K213/J213-1)</f>
        <v>-0.5</v>
      </c>
      <c r="N213" s="17" t="n">
        <f aca="false">K213/D213*10000</f>
        <v>1.03124677735382</v>
      </c>
      <c r="O213" s="7" t="n">
        <f aca="false">IF(K213=0,"none",D213/K213)</f>
        <v>9697</v>
      </c>
      <c r="P213" s="7" t="n">
        <f aca="false">IF(K213=0,"none",E213/K213)</f>
        <v>2201</v>
      </c>
      <c r="Q213" s="16" t="n">
        <v>0.161</v>
      </c>
      <c r="R213" s="16" t="n">
        <v>0.432</v>
      </c>
      <c r="S213" s="16" t="n">
        <v>0.086</v>
      </c>
      <c r="T213" s="6" t="n">
        <v>0</v>
      </c>
    </row>
    <row r="214" customFormat="false" ht="15" hidden="false" customHeight="false" outlineLevel="0" collapsed="false">
      <c r="A214" s="15" t="s">
        <v>551</v>
      </c>
      <c r="B214" s="15" t="s">
        <v>552</v>
      </c>
      <c r="C214" s="15" t="s">
        <v>77</v>
      </c>
      <c r="D214" s="6" t="n">
        <v>42507</v>
      </c>
      <c r="E214" s="6" t="n">
        <v>8948</v>
      </c>
      <c r="F214" s="16" t="n">
        <v>0.211</v>
      </c>
      <c r="G214" s="16" t="n">
        <v>0.139</v>
      </c>
      <c r="H214" s="16" t="n">
        <v>0.387</v>
      </c>
      <c r="I214" s="16" t="n">
        <v>0.091</v>
      </c>
      <c r="J214" s="6" t="n">
        <v>20</v>
      </c>
      <c r="K214" s="6" t="n">
        <v>19</v>
      </c>
      <c r="L214" s="7" t="n">
        <f aca="false">K214-J214</f>
        <v>-1</v>
      </c>
      <c r="M214" s="10" t="n">
        <f aca="false">IF(J214=0,"",K214/J214-1)</f>
        <v>-0.05</v>
      </c>
      <c r="N214" s="17" t="n">
        <f aca="false">K214/D214*10000</f>
        <v>4.46985202437246</v>
      </c>
      <c r="O214" s="7" t="n">
        <f aca="false">IF(K214=0,"none",D214/K214)</f>
        <v>2237.21052631579</v>
      </c>
      <c r="P214" s="7" t="n">
        <f aca="false">IF(K214=0,"none",E214/K214)</f>
        <v>470.947368421053</v>
      </c>
      <c r="Q214" s="16" t="n">
        <v>0.199</v>
      </c>
      <c r="R214" s="16" t="n">
        <v>0.477</v>
      </c>
      <c r="S214" s="16" t="n">
        <v>0.141</v>
      </c>
      <c r="T214" s="6" t="n">
        <v>0</v>
      </c>
    </row>
    <row r="215" customFormat="false" ht="15" hidden="false" customHeight="false" outlineLevel="0" collapsed="false">
      <c r="A215" s="15" t="s">
        <v>553</v>
      </c>
      <c r="B215" s="15" t="s">
        <v>554</v>
      </c>
      <c r="C215" s="15" t="s">
        <v>77</v>
      </c>
      <c r="D215" s="6" t="n">
        <v>14089</v>
      </c>
      <c r="E215" s="6" t="n">
        <v>3297</v>
      </c>
      <c r="F215" s="16" t="n">
        <v>0.234</v>
      </c>
      <c r="G215" s="16" t="n">
        <v>0.071</v>
      </c>
      <c r="H215" s="16" t="n">
        <v>0.357</v>
      </c>
      <c r="I215" s="16" t="n">
        <v>0.059</v>
      </c>
      <c r="J215" s="6" t="n">
        <v>6</v>
      </c>
      <c r="K215" s="6" t="n">
        <v>5</v>
      </c>
      <c r="L215" s="7" t="n">
        <f aca="false">K215-J215</f>
        <v>-1</v>
      </c>
      <c r="M215" s="10" t="n">
        <f aca="false">IF(J215=0,"",K215/J215-1)</f>
        <v>-0.166666666666667</v>
      </c>
      <c r="N215" s="17" t="n">
        <f aca="false">K215/D215*10000</f>
        <v>3.54886791113635</v>
      </c>
      <c r="O215" s="7" t="n">
        <f aca="false">IF(K215=0,"none",D215/K215)</f>
        <v>2817.8</v>
      </c>
      <c r="P215" s="7" t="n">
        <f aca="false">IF(K215=0,"none",E215/K215)</f>
        <v>659.4</v>
      </c>
      <c r="Q215" s="16" t="n">
        <v>0.169</v>
      </c>
      <c r="R215" s="16" t="n">
        <v>0.443</v>
      </c>
      <c r="S215" s="16" t="n">
        <v>0.092</v>
      </c>
      <c r="T215" s="6" t="n">
        <v>0</v>
      </c>
    </row>
    <row r="216" customFormat="false" ht="15" hidden="false" customHeight="false" outlineLevel="0" collapsed="false">
      <c r="A216" s="15" t="s">
        <v>555</v>
      </c>
      <c r="B216" s="15" t="s">
        <v>556</v>
      </c>
      <c r="C216" s="15" t="s">
        <v>77</v>
      </c>
      <c r="D216" s="6" t="n">
        <v>28057</v>
      </c>
      <c r="E216" s="6" t="n">
        <v>5203</v>
      </c>
      <c r="F216" s="16" t="n">
        <v>0.185</v>
      </c>
      <c r="G216" s="16" t="n">
        <v>0.028</v>
      </c>
      <c r="H216" s="16" t="n">
        <v>0.147</v>
      </c>
      <c r="I216" s="16" t="n">
        <v>0.066</v>
      </c>
      <c r="J216" s="6" t="n">
        <v>4</v>
      </c>
      <c r="K216" s="6" t="n">
        <v>4</v>
      </c>
      <c r="L216" s="7" t="n">
        <f aca="false">K216-J216</f>
        <v>0</v>
      </c>
      <c r="M216" s="10" t="n">
        <f aca="false">IF(J216=0,"",K216/J216-1)</f>
        <v>0</v>
      </c>
      <c r="N216" s="17" t="n">
        <f aca="false">K216/D216*10000</f>
        <v>1.4256691734683</v>
      </c>
      <c r="O216" s="7" t="n">
        <f aca="false">IF(K216=0,"none",D216/K216)</f>
        <v>7014.25</v>
      </c>
      <c r="P216" s="7" t="n">
        <f aca="false">IF(K216=0,"none",E216/K216)</f>
        <v>1300.75</v>
      </c>
      <c r="Q216" s="16" t="n">
        <v>0.147</v>
      </c>
      <c r="R216" s="16" t="n">
        <v>0.408</v>
      </c>
      <c r="S216" s="16" t="n">
        <v>0.081</v>
      </c>
      <c r="T216" s="6" t="n">
        <v>0</v>
      </c>
    </row>
    <row r="217" customFormat="false" ht="15" hidden="false" customHeight="false" outlineLevel="0" collapsed="false">
      <c r="A217" s="15" t="s">
        <v>557</v>
      </c>
      <c r="B217" s="15" t="s">
        <v>558</v>
      </c>
      <c r="C217" s="15" t="s">
        <v>77</v>
      </c>
      <c r="D217" s="6" t="n">
        <v>5680</v>
      </c>
      <c r="E217" s="6" t="n">
        <v>1007</v>
      </c>
      <c r="F217" s="16" t="n">
        <v>0.177</v>
      </c>
      <c r="G217" s="16" t="n">
        <v>0.16</v>
      </c>
      <c r="H217" s="16" t="n">
        <v>0.358</v>
      </c>
      <c r="I217" s="16" t="n">
        <v>0.047</v>
      </c>
      <c r="J217" s="6" t="n">
        <v>2</v>
      </c>
      <c r="K217" s="6" t="n">
        <v>2</v>
      </c>
      <c r="L217" s="7" t="n">
        <f aca="false">K217-J217</f>
        <v>0</v>
      </c>
      <c r="M217" s="10" t="n">
        <f aca="false">IF(J217=0,"",K217/J217-1)</f>
        <v>0</v>
      </c>
      <c r="N217" s="17" t="n">
        <f aca="false">K217/D217*10000</f>
        <v>3.52112676056338</v>
      </c>
      <c r="O217" s="7" t="n">
        <f aca="false">IF(K217=0,"none",D217/K217)</f>
        <v>2840</v>
      </c>
      <c r="P217" s="7" t="n">
        <f aca="false">IF(K217=0,"none",E217/K217)</f>
        <v>503.5</v>
      </c>
      <c r="Q217" s="16" t="n">
        <v>0.2</v>
      </c>
      <c r="R217" s="16" t="n">
        <v>0.476</v>
      </c>
      <c r="S217" s="16" t="n">
        <v>0.143</v>
      </c>
      <c r="T217" s="6" t="n">
        <v>0</v>
      </c>
    </row>
    <row r="218" customFormat="false" ht="15" hidden="false" customHeight="false" outlineLevel="0" collapsed="false">
      <c r="A218" s="15" t="s">
        <v>559</v>
      </c>
      <c r="B218" s="15" t="s">
        <v>233</v>
      </c>
      <c r="C218" s="15" t="s">
        <v>77</v>
      </c>
      <c r="D218" s="6" t="n">
        <v>10602</v>
      </c>
      <c r="E218" s="6" t="n">
        <v>2490</v>
      </c>
      <c r="F218" s="16" t="n">
        <v>0.235</v>
      </c>
      <c r="G218" s="16" t="n">
        <v>0.053</v>
      </c>
      <c r="H218" s="16" t="n">
        <v>0.302</v>
      </c>
      <c r="I218" s="16" t="n">
        <v>0.097</v>
      </c>
      <c r="J218" s="6" t="n">
        <v>3</v>
      </c>
      <c r="K218" s="6" t="n">
        <v>0</v>
      </c>
      <c r="L218" s="7" t="n">
        <f aca="false">K218-J218</f>
        <v>-3</v>
      </c>
      <c r="M218" s="10" t="n">
        <f aca="false">IF(J218=0,"",K218/J218-1)</f>
        <v>-1</v>
      </c>
      <c r="N218" s="17" t="n">
        <f aca="false">K218/D218*10000</f>
        <v>0</v>
      </c>
      <c r="O218" s="7" t="str">
        <f aca="false">IF(K218=0,"none",D218/K218)</f>
        <v>none</v>
      </c>
      <c r="P218" s="7" t="str">
        <f aca="false">IF(K218=0,"none",E218/K218)</f>
        <v>none</v>
      </c>
      <c r="Q218" s="16" t="n">
        <v>0.18</v>
      </c>
      <c r="R218" s="16" t="n">
        <v>0.459</v>
      </c>
      <c r="S218" s="16" t="n">
        <v>0.101</v>
      </c>
      <c r="T218" s="6" t="n">
        <v>0</v>
      </c>
    </row>
    <row r="219" customFormat="false" ht="15" hidden="false" customHeight="false" outlineLevel="0" collapsed="false">
      <c r="A219" s="15" t="s">
        <v>560</v>
      </c>
      <c r="B219" s="15" t="s">
        <v>561</v>
      </c>
      <c r="C219" s="15" t="s">
        <v>77</v>
      </c>
      <c r="D219" s="6" t="n">
        <v>24242</v>
      </c>
      <c r="E219" s="6" t="n">
        <v>3498</v>
      </c>
      <c r="F219" s="16" t="n">
        <v>0.144</v>
      </c>
      <c r="G219" s="16" t="n">
        <v>0.062</v>
      </c>
      <c r="H219" s="16" t="n">
        <v>0.145</v>
      </c>
      <c r="I219" s="16" t="n">
        <v>0.063</v>
      </c>
      <c r="J219" s="6" t="n">
        <v>8</v>
      </c>
      <c r="K219" s="6" t="n">
        <v>8</v>
      </c>
      <c r="L219" s="7" t="n">
        <f aca="false">K219-J219</f>
        <v>0</v>
      </c>
      <c r="M219" s="10" t="n">
        <f aca="false">IF(J219=0,"",K219/J219-1)</f>
        <v>0</v>
      </c>
      <c r="N219" s="17" t="n">
        <f aca="false">K219/D219*10000</f>
        <v>3.30005775101064</v>
      </c>
      <c r="O219" s="7" t="n">
        <f aca="false">IF(K219=0,"none",D219/K219)</f>
        <v>3030.25</v>
      </c>
      <c r="P219" s="7" t="n">
        <f aca="false">IF(K219=0,"none",E219/K219)</f>
        <v>437.25</v>
      </c>
      <c r="Q219" s="16" t="n">
        <v>0.111</v>
      </c>
      <c r="R219" s="16" t="n">
        <v>0.312</v>
      </c>
      <c r="S219" s="16" t="n">
        <v>0.059</v>
      </c>
      <c r="T219" s="6" t="n">
        <v>0</v>
      </c>
    </row>
    <row r="220" customFormat="false" ht="15" hidden="false" customHeight="false" outlineLevel="0" collapsed="false">
      <c r="A220" s="15" t="s">
        <v>562</v>
      </c>
      <c r="B220" s="15" t="s">
        <v>561</v>
      </c>
      <c r="C220" s="15" t="s">
        <v>77</v>
      </c>
      <c r="D220" s="6" t="n">
        <v>1145354</v>
      </c>
      <c r="E220" s="6" t="n">
        <v>162234</v>
      </c>
      <c r="F220" s="16" t="n">
        <v>0.142</v>
      </c>
      <c r="G220" s="16" t="n">
        <v>0.046</v>
      </c>
      <c r="H220" s="16" t="n">
        <v>0.099</v>
      </c>
      <c r="I220" s="16" t="n">
        <v>0.075</v>
      </c>
      <c r="J220" s="6" t="n">
        <v>171</v>
      </c>
      <c r="K220" s="6" t="n">
        <v>153</v>
      </c>
      <c r="L220" s="7" t="n">
        <f aca="false">K220-J220</f>
        <v>-18</v>
      </c>
      <c r="M220" s="10" t="n">
        <f aca="false">IF(J220=0,"",K220/J220-1)</f>
        <v>-0.105263157894737</v>
      </c>
      <c r="N220" s="17" t="n">
        <f aca="false">K220/D220*10000</f>
        <v>1.33583154203853</v>
      </c>
      <c r="O220" s="7" t="n">
        <f aca="false">IF(K220=0,"none",D220/K220)</f>
        <v>7485.97385620915</v>
      </c>
      <c r="P220" s="7" t="n">
        <f aca="false">IF(K220=0,"none",E220/K220)</f>
        <v>1060.35294117647</v>
      </c>
      <c r="Q220" s="16" t="n">
        <v>0.107</v>
      </c>
      <c r="R220" s="16" t="n">
        <v>0.296</v>
      </c>
      <c r="S220" s="16" t="n">
        <v>0.053</v>
      </c>
      <c r="T220" s="6" t="n">
        <v>0</v>
      </c>
    </row>
    <row r="221" customFormat="false" ht="15" hidden="false" customHeight="false" outlineLevel="0" collapsed="false">
      <c r="A221" s="15" t="s">
        <v>563</v>
      </c>
      <c r="B221" s="15" t="s">
        <v>564</v>
      </c>
      <c r="C221" s="15" t="s">
        <v>77</v>
      </c>
      <c r="D221" s="6" t="n">
        <v>14576</v>
      </c>
      <c r="E221" s="6" t="n">
        <v>2001</v>
      </c>
      <c r="F221" s="16" t="n">
        <v>0.137</v>
      </c>
      <c r="G221" s="16" t="n">
        <v>0.057</v>
      </c>
      <c r="H221" s="16" t="n">
        <v>0.039</v>
      </c>
      <c r="I221" s="16" t="n">
        <v>0.009</v>
      </c>
      <c r="J221" s="6" t="n">
        <v>7</v>
      </c>
      <c r="K221" s="6" t="n">
        <v>5</v>
      </c>
      <c r="L221" s="7" t="n">
        <f aca="false">K221-J221</f>
        <v>-2</v>
      </c>
      <c r="M221" s="10" t="n">
        <f aca="false">IF(J221=0,"",K221/J221-1)</f>
        <v>-0.285714285714286</v>
      </c>
      <c r="N221" s="17" t="n">
        <f aca="false">K221/D221*10000</f>
        <v>3.43029637760703</v>
      </c>
      <c r="O221" s="7" t="n">
        <f aca="false">IF(K221=0,"none",D221/K221)</f>
        <v>2915.2</v>
      </c>
      <c r="P221" s="7" t="n">
        <f aca="false">IF(K221=0,"none",E221/K221)</f>
        <v>400.2</v>
      </c>
      <c r="Q221" s="16" t="n">
        <v>0.089</v>
      </c>
      <c r="R221" s="16" t="n">
        <v>0.292</v>
      </c>
      <c r="S221" s="16" t="n">
        <v>0.039</v>
      </c>
      <c r="T221" s="6" t="n">
        <v>0</v>
      </c>
    </row>
    <row r="222" customFormat="false" ht="15" hidden="false" customHeight="false" outlineLevel="0" collapsed="false">
      <c r="A222" s="15" t="s">
        <v>565</v>
      </c>
      <c r="B222" s="15" t="s">
        <v>566</v>
      </c>
      <c r="C222" s="15" t="s">
        <v>77</v>
      </c>
      <c r="D222" s="6" t="n">
        <v>73290</v>
      </c>
      <c r="E222" s="6" t="n">
        <v>12262</v>
      </c>
      <c r="F222" s="16" t="n">
        <v>0.167</v>
      </c>
      <c r="G222" s="16" t="n">
        <v>0.031</v>
      </c>
      <c r="H222" s="16" t="n">
        <v>0.098</v>
      </c>
      <c r="I222" s="16" t="n">
        <v>0.077</v>
      </c>
      <c r="J222" s="6" t="n">
        <v>9</v>
      </c>
      <c r="K222" s="6" t="n">
        <v>9</v>
      </c>
      <c r="L222" s="7" t="n">
        <f aca="false">K222-J222</f>
        <v>0</v>
      </c>
      <c r="M222" s="10" t="n">
        <f aca="false">IF(J222=0,"",K222/J222-1)</f>
        <v>0</v>
      </c>
      <c r="N222" s="17" t="n">
        <f aca="false">K222/D222*10000</f>
        <v>1.22799836266885</v>
      </c>
      <c r="O222" s="7" t="n">
        <f aca="false">IF(K222=0,"none",D222/K222)</f>
        <v>8143.33333333333</v>
      </c>
      <c r="P222" s="7" t="n">
        <f aca="false">IF(K222=0,"none",E222/K222)</f>
        <v>1362.44444444444</v>
      </c>
      <c r="Q222" s="16" t="n">
        <v>0.116</v>
      </c>
      <c r="R222" s="16" t="n">
        <v>0.34</v>
      </c>
      <c r="S222" s="16" t="n">
        <v>0.059</v>
      </c>
      <c r="T222" s="6" t="n">
        <v>0</v>
      </c>
    </row>
    <row r="223" customFormat="false" ht="15" hidden="false" customHeight="false" outlineLevel="0" collapsed="false">
      <c r="A223" s="15" t="s">
        <v>567</v>
      </c>
      <c r="B223" s="15" t="s">
        <v>568</v>
      </c>
      <c r="C223" s="15" t="s">
        <v>77</v>
      </c>
      <c r="D223" s="6" t="n">
        <v>15532</v>
      </c>
      <c r="E223" s="6" t="n">
        <v>3766</v>
      </c>
      <c r="F223" s="16" t="n">
        <v>0.242</v>
      </c>
      <c r="G223" s="16" t="n">
        <v>0.056</v>
      </c>
      <c r="H223" s="16" t="n">
        <v>0.179</v>
      </c>
      <c r="I223" s="16" t="n">
        <v>0.073</v>
      </c>
      <c r="J223" s="6" t="n">
        <v>3</v>
      </c>
      <c r="K223" s="6" t="n">
        <v>3</v>
      </c>
      <c r="L223" s="7" t="n">
        <f aca="false">K223-J223</f>
        <v>0</v>
      </c>
      <c r="M223" s="10" t="n">
        <f aca="false">IF(J223=0,"",K223/J223-1)</f>
        <v>0</v>
      </c>
      <c r="N223" s="17" t="n">
        <f aca="false">K223/D223*10000</f>
        <v>1.93149626577389</v>
      </c>
      <c r="O223" s="7" t="n">
        <f aca="false">IF(K223=0,"none",D223/K223)</f>
        <v>5177.33333333333</v>
      </c>
      <c r="P223" s="7" t="n">
        <f aca="false">IF(K223=0,"none",E223/K223)</f>
        <v>1255.33333333333</v>
      </c>
      <c r="Q223" s="16" t="n">
        <v>0.135</v>
      </c>
      <c r="R223" s="16" t="n">
        <v>0.394</v>
      </c>
      <c r="S223" s="16" t="n">
        <v>0.064</v>
      </c>
      <c r="T223" s="6" t="n">
        <v>0</v>
      </c>
    </row>
    <row r="224" customFormat="false" ht="15" hidden="false" customHeight="false" outlineLevel="0" collapsed="false">
      <c r="A224" s="15" t="s">
        <v>569</v>
      </c>
      <c r="B224" s="15" t="s">
        <v>570</v>
      </c>
      <c r="C224" s="15" t="s">
        <v>77</v>
      </c>
      <c r="D224" s="6" t="n">
        <v>27442</v>
      </c>
      <c r="E224" s="6" t="n">
        <v>5603</v>
      </c>
      <c r="F224" s="16" t="n">
        <v>0.204</v>
      </c>
      <c r="G224" s="16" t="n">
        <v>0.027</v>
      </c>
      <c r="H224" s="16" t="n">
        <v>0.123</v>
      </c>
      <c r="I224" s="16" t="n">
        <v>0.08</v>
      </c>
      <c r="J224" s="6" t="n">
        <v>4</v>
      </c>
      <c r="K224" s="6" t="n">
        <v>4</v>
      </c>
      <c r="L224" s="7" t="n">
        <f aca="false">K224-J224</f>
        <v>0</v>
      </c>
      <c r="M224" s="10" t="n">
        <f aca="false">IF(J224=0,"",K224/J224-1)</f>
        <v>0</v>
      </c>
      <c r="N224" s="17" t="n">
        <f aca="false">K224/D224*10000</f>
        <v>1.45761970701844</v>
      </c>
      <c r="O224" s="7" t="n">
        <f aca="false">IF(K224=0,"none",D224/K224)</f>
        <v>6860.5</v>
      </c>
      <c r="P224" s="7" t="n">
        <f aca="false">IF(K224=0,"none",E224/K224)</f>
        <v>1400.75</v>
      </c>
      <c r="Q224" s="16" t="n">
        <v>0.126</v>
      </c>
      <c r="R224" s="16" t="n">
        <v>0.373</v>
      </c>
      <c r="S224" s="16" t="n">
        <v>0.064</v>
      </c>
      <c r="T224" s="6" t="n">
        <v>0</v>
      </c>
    </row>
    <row r="225" customFormat="false" ht="15" hidden="false" customHeight="false" outlineLevel="0" collapsed="false">
      <c r="A225" s="15" t="s">
        <v>571</v>
      </c>
      <c r="B225" s="15" t="s">
        <v>290</v>
      </c>
      <c r="C225" s="15" t="s">
        <v>77</v>
      </c>
      <c r="D225" s="6" t="n">
        <v>8194</v>
      </c>
      <c r="E225" s="6" t="n">
        <v>1553</v>
      </c>
      <c r="F225" s="16" t="n">
        <v>0.19</v>
      </c>
      <c r="G225" s="16" t="n">
        <v>0.109</v>
      </c>
      <c r="H225" s="16" t="n">
        <v>0.318</v>
      </c>
      <c r="I225" s="16" t="n">
        <v>0.031</v>
      </c>
      <c r="J225" s="6" t="n">
        <v>4</v>
      </c>
      <c r="K225" s="6" t="n">
        <v>3</v>
      </c>
      <c r="L225" s="7" t="n">
        <f aca="false">K225-J225</f>
        <v>-1</v>
      </c>
      <c r="M225" s="10" t="n">
        <f aca="false">IF(J225=0,"",K225/J225-1)</f>
        <v>-0.25</v>
      </c>
      <c r="N225" s="17" t="n">
        <f aca="false">K225/D225*10000</f>
        <v>3.66121552355382</v>
      </c>
      <c r="O225" s="7" t="n">
        <f aca="false">IF(K225=0,"none",D225/K225)</f>
        <v>2731.33333333333</v>
      </c>
      <c r="P225" s="7" t="n">
        <f aca="false">IF(K225=0,"none",E225/K225)</f>
        <v>517.666666666667</v>
      </c>
      <c r="Q225" s="16" t="n">
        <v>0.181</v>
      </c>
      <c r="R225" s="16" t="n">
        <v>0.452</v>
      </c>
      <c r="S225" s="16" t="n">
        <v>0.124</v>
      </c>
      <c r="T225" s="6" t="n">
        <v>0</v>
      </c>
    </row>
    <row r="226" customFormat="false" ht="15" hidden="false" customHeight="false" outlineLevel="0" collapsed="false">
      <c r="A226" s="15" t="s">
        <v>572</v>
      </c>
      <c r="B226" s="15" t="s">
        <v>290</v>
      </c>
      <c r="C226" s="15" t="s">
        <v>77</v>
      </c>
      <c r="D226" s="6" t="n">
        <v>54838</v>
      </c>
      <c r="E226" s="6" t="n">
        <v>13149</v>
      </c>
      <c r="F226" s="16" t="n">
        <v>0.24</v>
      </c>
      <c r="G226" s="16" t="n">
        <v>0.055</v>
      </c>
      <c r="H226" s="16" t="n">
        <v>0.217</v>
      </c>
      <c r="I226" s="16" t="n">
        <v>0.072</v>
      </c>
      <c r="J226" s="6" t="n">
        <v>7</v>
      </c>
      <c r="K226" s="6" t="n">
        <v>6</v>
      </c>
      <c r="L226" s="7" t="n">
        <f aca="false">K226-J226</f>
        <v>-1</v>
      </c>
      <c r="M226" s="10" t="n">
        <f aca="false">IF(J226=0,"",K226/J226-1)</f>
        <v>-0.142857142857143</v>
      </c>
      <c r="N226" s="17" t="n">
        <f aca="false">K226/D226*10000</f>
        <v>1.09413180641161</v>
      </c>
      <c r="O226" s="7" t="n">
        <f aca="false">IF(K226=0,"none",D226/K226)</f>
        <v>9139.66666666667</v>
      </c>
      <c r="P226" s="7" t="n">
        <f aca="false">IF(K226=0,"none",E226/K226)</f>
        <v>2191.5</v>
      </c>
      <c r="Q226" s="16" t="n">
        <v>0.151</v>
      </c>
      <c r="R226" s="16" t="n">
        <v>0.412</v>
      </c>
      <c r="S226" s="16" t="n">
        <v>0.072</v>
      </c>
      <c r="T226" s="6" t="n">
        <v>0</v>
      </c>
    </row>
    <row r="227" customFormat="false" ht="15" hidden="false" customHeight="false" outlineLevel="0" collapsed="false">
      <c r="A227" s="15" t="s">
        <v>573</v>
      </c>
      <c r="B227" s="15" t="s">
        <v>194</v>
      </c>
      <c r="C227" s="15" t="s">
        <v>77</v>
      </c>
      <c r="D227" s="6" t="n">
        <v>92007</v>
      </c>
      <c r="E227" s="6" t="n">
        <v>16636</v>
      </c>
      <c r="F227" s="16" t="n">
        <v>0.181</v>
      </c>
      <c r="G227" s="16" t="n">
        <v>0.036</v>
      </c>
      <c r="H227" s="16" t="n">
        <v>0.122</v>
      </c>
      <c r="I227" s="16" t="n">
        <v>0.08</v>
      </c>
      <c r="J227" s="6" t="n">
        <v>14</v>
      </c>
      <c r="K227" s="6" t="n">
        <v>14</v>
      </c>
      <c r="L227" s="7" t="n">
        <f aca="false">K227-J227</f>
        <v>0</v>
      </c>
      <c r="M227" s="10" t="n">
        <f aca="false">IF(J227=0,"",K227/J227-1)</f>
        <v>0</v>
      </c>
      <c r="N227" s="17" t="n">
        <f aca="false">K227/D227*10000</f>
        <v>1.52162335474475</v>
      </c>
      <c r="O227" s="7" t="n">
        <f aca="false">IF(K227=0,"none",D227/K227)</f>
        <v>6571.92857142857</v>
      </c>
      <c r="P227" s="7" t="n">
        <f aca="false">IF(K227=0,"none",E227/K227)</f>
        <v>1188.28571428571</v>
      </c>
      <c r="Q227" s="16" t="n">
        <v>0.118</v>
      </c>
      <c r="R227" s="16" t="n">
        <v>0.351</v>
      </c>
      <c r="S227" s="16" t="n">
        <v>0.065</v>
      </c>
      <c r="T227" s="6" t="n">
        <v>0</v>
      </c>
    </row>
    <row r="228" customFormat="false" ht="15" hidden="false" customHeight="false" outlineLevel="0" collapsed="false">
      <c r="A228" s="15" t="s">
        <v>574</v>
      </c>
      <c r="B228" s="15" t="s">
        <v>575</v>
      </c>
      <c r="C228" s="15" t="s">
        <v>77</v>
      </c>
      <c r="D228" s="6" t="n">
        <v>28258</v>
      </c>
      <c r="E228" s="6" t="n">
        <v>3157</v>
      </c>
      <c r="F228" s="16" t="n">
        <v>0.112</v>
      </c>
      <c r="G228" s="16" t="n">
        <v>0.092</v>
      </c>
      <c r="H228" s="16" t="n">
        <v>0.229</v>
      </c>
      <c r="I228" s="16" t="n">
        <v>0.085</v>
      </c>
      <c r="J228" s="6" t="n">
        <v>9</v>
      </c>
      <c r="K228" s="6" t="n">
        <v>7</v>
      </c>
      <c r="L228" s="7" t="n">
        <f aca="false">K228-J228</f>
        <v>-2</v>
      </c>
      <c r="M228" s="10" t="n">
        <f aca="false">IF(J228=0,"",K228/J228-1)</f>
        <v>-0.222222222222222</v>
      </c>
      <c r="N228" s="17" t="n">
        <f aca="false">K228/D228*10000</f>
        <v>2.47717460542147</v>
      </c>
      <c r="O228" s="7" t="n">
        <f aca="false">IF(K228=0,"none",D228/K228)</f>
        <v>4036.85714285714</v>
      </c>
      <c r="P228" s="7" t="n">
        <f aca="false">IF(K228=0,"none",E228/K228)</f>
        <v>451</v>
      </c>
      <c r="Q228" s="16" t="n">
        <v>0.102</v>
      </c>
      <c r="R228" s="16" t="n">
        <v>0.302</v>
      </c>
      <c r="S228" s="16" t="n">
        <v>0.086</v>
      </c>
      <c r="T228" s="6" t="n">
        <v>0</v>
      </c>
    </row>
    <row r="229" customFormat="false" ht="15" hidden="false" customHeight="false" outlineLevel="0" collapsed="false">
      <c r="A229" s="15" t="s">
        <v>576</v>
      </c>
      <c r="B229" s="15" t="s">
        <v>577</v>
      </c>
      <c r="C229" s="15" t="s">
        <v>77</v>
      </c>
      <c r="D229" s="6" t="n">
        <v>6687</v>
      </c>
      <c r="E229" s="6" t="n">
        <v>1259</v>
      </c>
      <c r="F229" s="16" t="n">
        <v>0.188</v>
      </c>
      <c r="G229" s="16" t="n">
        <v>0.097</v>
      </c>
      <c r="H229" s="16" t="n">
        <v>0.377</v>
      </c>
      <c r="I229" s="16" t="n">
        <v>0.144</v>
      </c>
      <c r="J229" s="6" t="n">
        <v>4</v>
      </c>
      <c r="K229" s="6" t="n">
        <v>3</v>
      </c>
      <c r="L229" s="7" t="n">
        <f aca="false">K229-J229</f>
        <v>-1</v>
      </c>
      <c r="M229" s="10" t="n">
        <f aca="false">IF(J229=0,"",K229/J229-1)</f>
        <v>-0.25</v>
      </c>
      <c r="N229" s="17" t="n">
        <f aca="false">K229/D229*10000</f>
        <v>4.48631673396142</v>
      </c>
      <c r="O229" s="7" t="n">
        <f aca="false">IF(K229=0,"none",D229/K229)</f>
        <v>2229</v>
      </c>
      <c r="P229" s="7" t="n">
        <f aca="false">IF(K229=0,"none",E229/K229)</f>
        <v>419.666666666667</v>
      </c>
      <c r="Q229" s="16" t="n">
        <v>0.163</v>
      </c>
      <c r="R229" s="16" t="n">
        <v>0.409</v>
      </c>
      <c r="S229" s="16" t="n">
        <v>0.11</v>
      </c>
      <c r="T229" s="6" t="n">
        <v>0</v>
      </c>
    </row>
    <row r="230" customFormat="false" ht="15" hidden="false" customHeight="false" outlineLevel="0" collapsed="false">
      <c r="A230" s="15" t="s">
        <v>578</v>
      </c>
      <c r="B230" s="15" t="s">
        <v>579</v>
      </c>
      <c r="C230" s="15" t="s">
        <v>77</v>
      </c>
      <c r="D230" s="6" t="n">
        <v>16711</v>
      </c>
      <c r="E230" s="6" t="n">
        <v>3623</v>
      </c>
      <c r="F230" s="16" t="n">
        <v>0.217</v>
      </c>
      <c r="G230" s="16" t="n">
        <v>0.056</v>
      </c>
      <c r="H230" s="16" t="n">
        <v>0.2</v>
      </c>
      <c r="I230" s="16" t="n">
        <v>0.064</v>
      </c>
      <c r="J230" s="6" t="n">
        <v>6</v>
      </c>
      <c r="K230" s="6" t="n">
        <v>4</v>
      </c>
      <c r="L230" s="7" t="n">
        <f aca="false">K230-J230</f>
        <v>-2</v>
      </c>
      <c r="M230" s="10" t="n">
        <f aca="false">IF(J230=0,"",K230/J230-1)</f>
        <v>-0.333333333333333</v>
      </c>
      <c r="N230" s="17" t="n">
        <f aca="false">K230/D230*10000</f>
        <v>2.3936329363892</v>
      </c>
      <c r="O230" s="7" t="n">
        <f aca="false">IF(K230=0,"none",D230/K230)</f>
        <v>4177.75</v>
      </c>
      <c r="P230" s="7" t="n">
        <f aca="false">IF(K230=0,"none",E230/K230)</f>
        <v>905.75</v>
      </c>
      <c r="Q230" s="16" t="n">
        <v>0.138</v>
      </c>
      <c r="R230" s="16" t="n">
        <v>0.399</v>
      </c>
      <c r="S230" s="16" t="n">
        <v>0.07</v>
      </c>
      <c r="T230" s="6" t="n">
        <v>0</v>
      </c>
    </row>
    <row r="231" customFormat="false" ht="15" hidden="false" customHeight="false" outlineLevel="0" collapsed="false">
      <c r="A231" s="15" t="s">
        <v>580</v>
      </c>
      <c r="B231" s="15" t="s">
        <v>235</v>
      </c>
      <c r="C231" s="15" t="s">
        <v>77</v>
      </c>
      <c r="D231" s="6" t="n">
        <v>38875</v>
      </c>
      <c r="E231" s="6" t="n">
        <v>7602</v>
      </c>
      <c r="F231" s="16" t="n">
        <v>0.196</v>
      </c>
      <c r="G231" s="16" t="n">
        <v>0.024</v>
      </c>
      <c r="H231" s="16" t="n">
        <v>0.112</v>
      </c>
      <c r="I231" s="16" t="n">
        <v>0.05</v>
      </c>
      <c r="J231" s="6" t="n">
        <v>4</v>
      </c>
      <c r="K231" s="6" t="n">
        <v>3</v>
      </c>
      <c r="L231" s="7" t="n">
        <f aca="false">K231-J231</f>
        <v>-1</v>
      </c>
      <c r="M231" s="10" t="n">
        <f aca="false">IF(J231=0,"",K231/J231-1)</f>
        <v>-0.25</v>
      </c>
      <c r="N231" s="17" t="n">
        <f aca="false">K231/D231*10000</f>
        <v>0.771704180064309</v>
      </c>
      <c r="O231" s="7" t="n">
        <f aca="false">IF(K231=0,"none",D231/K231)</f>
        <v>12958.3333333333</v>
      </c>
      <c r="P231" s="7" t="n">
        <f aca="false">IF(K231=0,"none",E231/K231)</f>
        <v>2534</v>
      </c>
      <c r="Q231" s="16" t="n">
        <v>0.128</v>
      </c>
      <c r="R231" s="16" t="n">
        <v>0.385</v>
      </c>
      <c r="S231" s="16" t="n">
        <v>0.062</v>
      </c>
      <c r="T231" s="6" t="n">
        <v>0</v>
      </c>
    </row>
    <row r="232" customFormat="false" ht="15" hidden="false" customHeight="false" outlineLevel="0" collapsed="false">
      <c r="A232" s="15" t="s">
        <v>581</v>
      </c>
      <c r="B232" s="15" t="s">
        <v>582</v>
      </c>
      <c r="C232" s="15" t="s">
        <v>77</v>
      </c>
      <c r="D232" s="6" t="n">
        <v>24906</v>
      </c>
      <c r="E232" s="6" t="n">
        <v>5739</v>
      </c>
      <c r="F232" s="16" t="n">
        <v>0.23</v>
      </c>
      <c r="G232" s="16" t="n">
        <v>0.027</v>
      </c>
      <c r="H232" s="16" t="n">
        <v>0.084</v>
      </c>
      <c r="I232" s="16" t="n">
        <v>0.036</v>
      </c>
      <c r="J232" s="6" t="n">
        <v>4</v>
      </c>
      <c r="K232" s="6" t="n">
        <v>4</v>
      </c>
      <c r="L232" s="7" t="n">
        <f aca="false">K232-J232</f>
        <v>0</v>
      </c>
      <c r="M232" s="10" t="n">
        <f aca="false">IF(J232=0,"",K232/J232-1)</f>
        <v>0</v>
      </c>
      <c r="N232" s="17" t="n">
        <f aca="false">K232/D232*10000</f>
        <v>1.6060387055328</v>
      </c>
      <c r="O232" s="7" t="n">
        <f aca="false">IF(K232=0,"none",D232/K232)</f>
        <v>6226.5</v>
      </c>
      <c r="P232" s="7" t="n">
        <f aca="false">IF(K232=0,"none",E232/K232)</f>
        <v>1434.75</v>
      </c>
      <c r="Q232" s="16" t="n">
        <v>0.122</v>
      </c>
      <c r="R232" s="16" t="n">
        <v>0.384</v>
      </c>
      <c r="S232" s="16" t="n">
        <v>0.049</v>
      </c>
      <c r="T232" s="6" t="n">
        <v>0</v>
      </c>
    </row>
    <row r="233" customFormat="false" ht="15" hidden="false" customHeight="false" outlineLevel="0" collapsed="false">
      <c r="A233" s="15" t="s">
        <v>583</v>
      </c>
      <c r="B233" s="15" t="s">
        <v>584</v>
      </c>
      <c r="C233" s="15" t="s">
        <v>77</v>
      </c>
      <c r="D233" s="6" t="n">
        <v>15356</v>
      </c>
      <c r="E233" s="6" t="n">
        <v>3908</v>
      </c>
      <c r="F233" s="16" t="n">
        <v>0.254</v>
      </c>
      <c r="G233" s="16" t="n">
        <v>0.05</v>
      </c>
      <c r="H233" s="16" t="n">
        <v>0.331</v>
      </c>
      <c r="I233" s="16" t="n">
        <v>0.102</v>
      </c>
      <c r="J233" s="6" t="n">
        <v>0</v>
      </c>
      <c r="K233" s="6" t="n">
        <v>0</v>
      </c>
      <c r="L233" s="7" t="n">
        <f aca="false">K233-J233</f>
        <v>0</v>
      </c>
      <c r="M233" s="10" t="str">
        <f aca="false">IF(J233=0,"",K233/J233-1)</f>
        <v/>
      </c>
      <c r="N233" s="17" t="n">
        <f aca="false">K233/D233*10000</f>
        <v>0</v>
      </c>
      <c r="O233" s="7" t="str">
        <f aca="false">IF(K233=0,"none",D233/K233)</f>
        <v>none</v>
      </c>
      <c r="P233" s="7" t="str">
        <f aca="false">IF(K233=0,"none",E233/K233)</f>
        <v>none</v>
      </c>
      <c r="Q233" s="16" t="n">
        <v>0.175</v>
      </c>
      <c r="R233" s="16" t="n">
        <v>0.45</v>
      </c>
      <c r="S233" s="16" t="n">
        <v>0.096</v>
      </c>
      <c r="T233" s="6" t="n">
        <v>0</v>
      </c>
    </row>
    <row r="234" customFormat="false" ht="15" hidden="false" customHeight="false" outlineLevel="0" collapsed="false">
      <c r="A234" s="15" t="s">
        <v>585</v>
      </c>
      <c r="B234" s="15" t="s">
        <v>296</v>
      </c>
      <c r="C234" s="15" t="s">
        <v>77</v>
      </c>
      <c r="D234" s="6" t="n">
        <v>20631</v>
      </c>
      <c r="E234" s="6" t="n">
        <v>3813</v>
      </c>
      <c r="F234" s="16" t="n">
        <v>0.185</v>
      </c>
      <c r="G234" s="16" t="n">
        <v>0.021</v>
      </c>
      <c r="H234" s="16" t="n">
        <v>0.162</v>
      </c>
      <c r="I234" s="16" t="n">
        <v>0.067</v>
      </c>
      <c r="J234" s="6" t="n">
        <v>4</v>
      </c>
      <c r="K234" s="6" t="n">
        <v>3</v>
      </c>
      <c r="L234" s="7" t="n">
        <f aca="false">K234-J234</f>
        <v>-1</v>
      </c>
      <c r="M234" s="10" t="n">
        <f aca="false">IF(J234=0,"",K234/J234-1)</f>
        <v>-0.25</v>
      </c>
      <c r="N234" s="17" t="n">
        <f aca="false">K234/D234*10000</f>
        <v>1.4541224371092</v>
      </c>
      <c r="O234" s="7" t="n">
        <f aca="false">IF(K234=0,"none",D234/K234)</f>
        <v>6877</v>
      </c>
      <c r="P234" s="7" t="n">
        <f aca="false">IF(K234=0,"none",E234/K234)</f>
        <v>1271</v>
      </c>
      <c r="Q234" s="16" t="n">
        <v>0.127</v>
      </c>
      <c r="R234" s="16" t="n">
        <v>0.376</v>
      </c>
      <c r="S234" s="16" t="n">
        <v>0.071</v>
      </c>
      <c r="T234" s="6" t="n">
        <v>0</v>
      </c>
    </row>
    <row r="235" customFormat="false" ht="15" hidden="false" customHeight="false" outlineLevel="0" collapsed="false">
      <c r="A235" s="15" t="s">
        <v>586</v>
      </c>
      <c r="B235" s="15" t="s">
        <v>587</v>
      </c>
      <c r="C235" s="15" t="s">
        <v>77</v>
      </c>
      <c r="D235" s="6" t="n">
        <v>11373</v>
      </c>
      <c r="E235" s="6" t="n">
        <v>1783</v>
      </c>
      <c r="F235" s="16" t="n">
        <v>0.157</v>
      </c>
      <c r="G235" s="16" t="n">
        <v>0.086</v>
      </c>
      <c r="H235" s="16" t="n">
        <v>0.268</v>
      </c>
      <c r="I235" s="16" t="n">
        <v>0.078</v>
      </c>
      <c r="J235" s="6" t="n">
        <v>0</v>
      </c>
      <c r="K235" s="6" t="n">
        <v>0</v>
      </c>
      <c r="L235" s="7" t="n">
        <f aca="false">K235-J235</f>
        <v>0</v>
      </c>
      <c r="M235" s="10" t="str">
        <f aca="false">IF(J235=0,"",K235/J235-1)</f>
        <v/>
      </c>
      <c r="N235" s="17" t="n">
        <f aca="false">K235/D235*10000</f>
        <v>0</v>
      </c>
      <c r="O235" s="7" t="str">
        <f aca="false">IF(K235=0,"none",D235/K235)</f>
        <v>none</v>
      </c>
      <c r="P235" s="7" t="str">
        <f aca="false">IF(K235=0,"none",E235/K235)</f>
        <v>none</v>
      </c>
      <c r="Q235" s="16" t="n">
        <v>0.171</v>
      </c>
      <c r="R235" s="16" t="n">
        <v>0.443</v>
      </c>
      <c r="S235" s="16" t="n">
        <v>0.131</v>
      </c>
      <c r="T235" s="6" t="n">
        <v>0</v>
      </c>
    </row>
    <row r="236" customFormat="false" ht="15" hidden="false" customHeight="false" outlineLevel="0" collapsed="false">
      <c r="A236" s="15" t="s">
        <v>588</v>
      </c>
      <c r="B236" s="15" t="s">
        <v>589</v>
      </c>
      <c r="C236" s="15" t="s">
        <v>77</v>
      </c>
      <c r="D236" s="6" t="n">
        <v>34013</v>
      </c>
      <c r="E236" s="6" t="n">
        <v>8474</v>
      </c>
      <c r="F236" s="16" t="n">
        <v>0.249</v>
      </c>
      <c r="G236" s="16" t="n">
        <v>0.064</v>
      </c>
      <c r="H236" s="16" t="n">
        <v>0.273</v>
      </c>
      <c r="I236" s="16" t="n">
        <v>0.084</v>
      </c>
      <c r="J236" s="6" t="n">
        <v>5</v>
      </c>
      <c r="K236" s="6" t="n">
        <v>2</v>
      </c>
      <c r="L236" s="7" t="n">
        <f aca="false">K236-J236</f>
        <v>-3</v>
      </c>
      <c r="M236" s="10" t="n">
        <f aca="false">IF(J236=0,"",K236/J236-1)</f>
        <v>-0.6</v>
      </c>
      <c r="N236" s="17" t="n">
        <f aca="false">K236/D236*10000</f>
        <v>0.588010466586305</v>
      </c>
      <c r="O236" s="7" t="n">
        <f aca="false">IF(K236=0,"none",D236/K236)</f>
        <v>17006.5</v>
      </c>
      <c r="P236" s="7" t="n">
        <f aca="false">IF(K236=0,"none",E236/K236)</f>
        <v>4237</v>
      </c>
      <c r="Q236" s="16" t="n">
        <v>0.193</v>
      </c>
      <c r="R236" s="16" t="n">
        <v>0.474</v>
      </c>
      <c r="S236" s="16" t="n">
        <v>0.11</v>
      </c>
      <c r="T236" s="6" t="n">
        <v>0</v>
      </c>
    </row>
    <row r="237" customFormat="false" ht="15" hidden="false" customHeight="false" outlineLevel="0" collapsed="false">
      <c r="A237" s="15" t="s">
        <v>590</v>
      </c>
      <c r="B237" s="15" t="s">
        <v>591</v>
      </c>
      <c r="C237" s="15" t="s">
        <v>77</v>
      </c>
      <c r="D237" s="6" t="n">
        <v>137217</v>
      </c>
      <c r="E237" s="6" t="n">
        <v>21761</v>
      </c>
      <c r="F237" s="16" t="n">
        <v>0.159</v>
      </c>
      <c r="G237" s="16" t="n">
        <v>0.076</v>
      </c>
      <c r="H237" s="16" t="n">
        <v>0.228</v>
      </c>
      <c r="I237" s="16" t="n">
        <v>0.071</v>
      </c>
      <c r="J237" s="6" t="n">
        <v>20</v>
      </c>
      <c r="K237" s="6" t="n">
        <v>18</v>
      </c>
      <c r="L237" s="7" t="n">
        <f aca="false">K237-J237</f>
        <v>-2</v>
      </c>
      <c r="M237" s="10" t="n">
        <f aca="false">IF(J237=0,"",K237/J237-1)</f>
        <v>-0.1</v>
      </c>
      <c r="N237" s="17" t="n">
        <f aca="false">K237/D237*10000</f>
        <v>1.31179081309167</v>
      </c>
      <c r="O237" s="7" t="n">
        <f aca="false">IF(K237=0,"none",D237/K237)</f>
        <v>7623.16666666667</v>
      </c>
      <c r="P237" s="7" t="n">
        <f aca="false">IF(K237=0,"none",E237/K237)</f>
        <v>1208.94444444444</v>
      </c>
      <c r="Q237" s="16" t="n">
        <v>0.15</v>
      </c>
      <c r="R237" s="16" t="n">
        <v>0.399</v>
      </c>
      <c r="S237" s="16" t="n">
        <v>0.107</v>
      </c>
      <c r="T237" s="6" t="n">
        <v>0</v>
      </c>
    </row>
    <row r="238" customFormat="false" ht="15" hidden="false" customHeight="false" outlineLevel="0" collapsed="false">
      <c r="A238" s="15" t="s">
        <v>592</v>
      </c>
      <c r="B238" s="15" t="s">
        <v>593</v>
      </c>
      <c r="C238" s="15" t="s">
        <v>77</v>
      </c>
      <c r="D238" s="6" t="n">
        <v>110513</v>
      </c>
      <c r="E238" s="6" t="n">
        <v>20409</v>
      </c>
      <c r="F238" s="16" t="n">
        <v>0.185</v>
      </c>
      <c r="G238" s="16" t="n">
        <v>0.027</v>
      </c>
      <c r="H238" s="16" t="n">
        <v>0.099</v>
      </c>
      <c r="I238" s="16" t="n">
        <v>0.041</v>
      </c>
      <c r="J238" s="6" t="n">
        <v>28</v>
      </c>
      <c r="K238" s="6" t="n">
        <v>27</v>
      </c>
      <c r="L238" s="7" t="n">
        <f aca="false">K238-J238</f>
        <v>-1</v>
      </c>
      <c r="M238" s="10" t="n">
        <f aca="false">IF(J238=0,"",K238/J238-1)</f>
        <v>-0.0357142857142857</v>
      </c>
      <c r="N238" s="17" t="n">
        <f aca="false">K238/D238*10000</f>
        <v>2.44315148444074</v>
      </c>
      <c r="O238" s="7" t="n">
        <f aca="false">IF(K238=0,"none",D238/K238)</f>
        <v>4093.07407407407</v>
      </c>
      <c r="P238" s="7" t="n">
        <f aca="false">IF(K238=0,"none",E238/K238)</f>
        <v>755.888888888889</v>
      </c>
      <c r="Q238" s="16" t="n">
        <v>0.116</v>
      </c>
      <c r="R238" s="16" t="n">
        <v>0.349</v>
      </c>
      <c r="S238" s="16" t="n">
        <v>0.055</v>
      </c>
      <c r="T238" s="6" t="n">
        <v>0</v>
      </c>
    </row>
    <row r="239" customFormat="false" ht="15" hidden="false" customHeight="false" outlineLevel="0" collapsed="false">
      <c r="A239" s="15" t="s">
        <v>594</v>
      </c>
      <c r="B239" s="15" t="s">
        <v>595</v>
      </c>
      <c r="C239" s="15" t="s">
        <v>77</v>
      </c>
      <c r="D239" s="6" t="n">
        <v>51784</v>
      </c>
      <c r="E239" s="6" t="n">
        <v>4975</v>
      </c>
      <c r="F239" s="16" t="n">
        <v>0.096</v>
      </c>
      <c r="G239" s="16" t="n">
        <v>0.072</v>
      </c>
      <c r="H239" s="16" t="n">
        <v>0.386</v>
      </c>
      <c r="I239" s="16" t="n">
        <v>0.106</v>
      </c>
      <c r="J239" s="6" t="n">
        <v>15</v>
      </c>
      <c r="K239" s="6" t="n">
        <v>15</v>
      </c>
      <c r="L239" s="7" t="n">
        <f aca="false">K239-J239</f>
        <v>0</v>
      </c>
      <c r="M239" s="10" t="n">
        <f aca="false">IF(J239=0,"",K239/J239-1)</f>
        <v>0</v>
      </c>
      <c r="N239" s="17" t="n">
        <f aca="false">K239/D239*10000</f>
        <v>2.89664761316237</v>
      </c>
      <c r="O239" s="7" t="n">
        <f aca="false">IF(K239=0,"none",D239/K239)</f>
        <v>3452.26666666667</v>
      </c>
      <c r="P239" s="7" t="n">
        <f aca="false">IF(K239=0,"none",E239/K239)</f>
        <v>331.666666666667</v>
      </c>
      <c r="Q239" s="16" t="n">
        <v>0.102</v>
      </c>
      <c r="R239" s="16" t="n">
        <v>0.278</v>
      </c>
      <c r="S239" s="16" t="n">
        <v>0.114</v>
      </c>
      <c r="T239" s="6" t="n">
        <v>0</v>
      </c>
    </row>
    <row r="240" customFormat="false" ht="15" hidden="false" customHeight="false" outlineLevel="0" collapsed="false">
      <c r="A240" s="15" t="s">
        <v>596</v>
      </c>
      <c r="B240" s="15" t="s">
        <v>597</v>
      </c>
      <c r="C240" s="15" t="s">
        <v>77</v>
      </c>
      <c r="D240" s="6" t="n">
        <v>333120</v>
      </c>
      <c r="E240" s="6" t="n">
        <v>53977</v>
      </c>
      <c r="F240" s="16" t="n">
        <v>0.162</v>
      </c>
      <c r="G240" s="16" t="n">
        <v>0.055</v>
      </c>
      <c r="H240" s="16" t="n">
        <v>0.143</v>
      </c>
      <c r="I240" s="16" t="n">
        <v>0.063</v>
      </c>
      <c r="J240" s="6" t="n">
        <v>84</v>
      </c>
      <c r="K240" s="6" t="n">
        <v>77</v>
      </c>
      <c r="L240" s="7" t="n">
        <f aca="false">K240-J240</f>
        <v>-7</v>
      </c>
      <c r="M240" s="10" t="n">
        <f aca="false">IF(J240=0,"",K240/J240-1)</f>
        <v>-0.0833333333333334</v>
      </c>
      <c r="N240" s="17" t="n">
        <f aca="false">K240/D240*10000</f>
        <v>2.31147934678194</v>
      </c>
      <c r="O240" s="7" t="n">
        <f aca="false">IF(K240=0,"none",D240/K240)</f>
        <v>4326.23376623377</v>
      </c>
      <c r="P240" s="7" t="n">
        <f aca="false">IF(K240=0,"none",E240/K240)</f>
        <v>701</v>
      </c>
      <c r="Q240" s="16" t="n">
        <v>0.123</v>
      </c>
      <c r="R240" s="16" t="n">
        <v>0.366</v>
      </c>
      <c r="S240" s="16" t="n">
        <v>0.072</v>
      </c>
      <c r="T240" s="6" t="n">
        <v>0</v>
      </c>
    </row>
    <row r="241" customFormat="false" ht="15" hidden="false" customHeight="false" outlineLevel="0" collapsed="false">
      <c r="A241" s="15" t="s">
        <v>598</v>
      </c>
      <c r="B241" s="15" t="s">
        <v>599</v>
      </c>
      <c r="C241" s="15" t="s">
        <v>77</v>
      </c>
      <c r="D241" s="6" t="n">
        <v>50760</v>
      </c>
      <c r="E241" s="6" t="n">
        <v>12389</v>
      </c>
      <c r="F241" s="16" t="n">
        <v>0.244</v>
      </c>
      <c r="G241" s="16" t="n">
        <v>0.065</v>
      </c>
      <c r="H241" s="16" t="n">
        <v>0.299</v>
      </c>
      <c r="I241" s="16" t="n">
        <v>0.081</v>
      </c>
      <c r="J241" s="6" t="n">
        <v>10</v>
      </c>
      <c r="K241" s="6" t="n">
        <v>8</v>
      </c>
      <c r="L241" s="7" t="n">
        <f aca="false">K241-J241</f>
        <v>-2</v>
      </c>
      <c r="M241" s="10" t="n">
        <f aca="false">IF(J241=0,"",K241/J241-1)</f>
        <v>-0.2</v>
      </c>
      <c r="N241" s="17" t="n">
        <f aca="false">K241/D241*10000</f>
        <v>1.57604412923562</v>
      </c>
      <c r="O241" s="7" t="n">
        <f aca="false">IF(K241=0,"none",D241/K241)</f>
        <v>6345</v>
      </c>
      <c r="P241" s="7" t="n">
        <f aca="false">IF(K241=0,"none",E241/K241)</f>
        <v>1548.625</v>
      </c>
      <c r="Q241" s="16" t="n">
        <v>0.18</v>
      </c>
      <c r="R241" s="16" t="n">
        <v>0.459</v>
      </c>
      <c r="S241" s="16" t="n">
        <v>0.1</v>
      </c>
      <c r="T241" s="6" t="n">
        <v>0</v>
      </c>
    </row>
    <row r="242" customFormat="false" ht="15" hidden="false" customHeight="false" outlineLevel="0" collapsed="false">
      <c r="A242" s="15" t="s">
        <v>600</v>
      </c>
      <c r="B242" s="15" t="s">
        <v>601</v>
      </c>
      <c r="C242" s="15" t="s">
        <v>77</v>
      </c>
      <c r="D242" s="6" t="n">
        <v>2247</v>
      </c>
      <c r="E242" s="6" t="n">
        <v>829</v>
      </c>
      <c r="F242" s="16" t="n">
        <v>0.369</v>
      </c>
      <c r="G242" s="16" t="n">
        <v>0.053</v>
      </c>
      <c r="H242" s="16" t="n">
        <v>0.177</v>
      </c>
      <c r="I242" s="16" t="n">
        <v>0.081</v>
      </c>
      <c r="J242" s="6" t="n">
        <v>0</v>
      </c>
      <c r="K242" s="6" t="n">
        <v>0</v>
      </c>
      <c r="L242" s="7" t="n">
        <f aca="false">K242-J242</f>
        <v>0</v>
      </c>
      <c r="M242" s="10" t="str">
        <f aca="false">IF(J242=0,"",K242/J242-1)</f>
        <v/>
      </c>
      <c r="N242" s="17" t="n">
        <f aca="false">K242/D242*10000</f>
        <v>0</v>
      </c>
      <c r="O242" s="7" t="str">
        <f aca="false">IF(K242=0,"none",D242/K242)</f>
        <v>none</v>
      </c>
      <c r="P242" s="7" t="str">
        <f aca="false">IF(K242=0,"none",E242/K242)</f>
        <v>none</v>
      </c>
      <c r="Q242" s="16" t="n">
        <v>0.152</v>
      </c>
      <c r="R242" s="16" t="n">
        <v>0.44</v>
      </c>
      <c r="S242" s="16" t="n">
        <v>0.051</v>
      </c>
      <c r="T242" s="6" t="n">
        <v>0</v>
      </c>
    </row>
    <row r="243" customFormat="false" ht="15" hidden="false" customHeight="false" outlineLevel="0" collapsed="false">
      <c r="A243" s="15" t="s">
        <v>602</v>
      </c>
      <c r="B243" s="15" t="s">
        <v>603</v>
      </c>
      <c r="C243" s="15" t="s">
        <v>77</v>
      </c>
      <c r="D243" s="6" t="n">
        <v>23046</v>
      </c>
      <c r="E243" s="6" t="n">
        <v>3384</v>
      </c>
      <c r="F243" s="16" t="n">
        <v>0.147</v>
      </c>
      <c r="G243" s="16" t="n">
        <v>0.09</v>
      </c>
      <c r="H243" s="16" t="n">
        <v>0.365</v>
      </c>
      <c r="I243" s="16" t="n">
        <v>0.069</v>
      </c>
      <c r="J243" s="6" t="n">
        <v>7</v>
      </c>
      <c r="K243" s="6" t="n">
        <v>6</v>
      </c>
      <c r="L243" s="7" t="n">
        <f aca="false">K243-J243</f>
        <v>-1</v>
      </c>
      <c r="M243" s="10" t="n">
        <f aca="false">IF(J243=0,"",K243/J243-1)</f>
        <v>-0.142857142857143</v>
      </c>
      <c r="N243" s="17" t="n">
        <f aca="false">K243/D243*10000</f>
        <v>2.60348867482427</v>
      </c>
      <c r="O243" s="7" t="n">
        <f aca="false">IF(K243=0,"none",D243/K243)</f>
        <v>3841</v>
      </c>
      <c r="P243" s="7" t="n">
        <f aca="false">IF(K243=0,"none",E243/K243)</f>
        <v>564</v>
      </c>
      <c r="Q243" s="16" t="n">
        <v>0.177</v>
      </c>
      <c r="R243" s="16" t="n">
        <v>0.434</v>
      </c>
      <c r="S243" s="16" t="n">
        <v>0.146</v>
      </c>
      <c r="T243" s="6" t="n">
        <v>0</v>
      </c>
    </row>
    <row r="244" customFormat="false" ht="15" hidden="false" customHeight="false" outlineLevel="0" collapsed="false">
      <c r="A244" s="15" t="s">
        <v>604</v>
      </c>
      <c r="B244" s="15" t="s">
        <v>605</v>
      </c>
      <c r="C244" s="15" t="s">
        <v>77</v>
      </c>
      <c r="D244" s="6" t="n">
        <v>38898</v>
      </c>
      <c r="E244" s="6" t="n">
        <v>7496</v>
      </c>
      <c r="F244" s="16" t="n">
        <v>0.193</v>
      </c>
      <c r="G244" s="16" t="n">
        <v>0.047</v>
      </c>
      <c r="H244" s="16" t="n">
        <v>0.158</v>
      </c>
      <c r="I244" s="16" t="n">
        <v>0.061</v>
      </c>
      <c r="J244" s="6" t="n">
        <v>6</v>
      </c>
      <c r="K244" s="6" t="n">
        <v>5</v>
      </c>
      <c r="L244" s="7" t="n">
        <f aca="false">K244-J244</f>
        <v>-1</v>
      </c>
      <c r="M244" s="10" t="n">
        <f aca="false">IF(J244=0,"",K244/J244-1)</f>
        <v>-0.166666666666667</v>
      </c>
      <c r="N244" s="17" t="n">
        <f aca="false">K244/D244*10000</f>
        <v>1.28541313178055</v>
      </c>
      <c r="O244" s="7" t="n">
        <f aca="false">IF(K244=0,"none",D244/K244)</f>
        <v>7779.6</v>
      </c>
      <c r="P244" s="7" t="n">
        <f aca="false">IF(K244=0,"none",E244/K244)</f>
        <v>1499.2</v>
      </c>
      <c r="Q244" s="16" t="n">
        <v>0.138</v>
      </c>
      <c r="R244" s="16" t="n">
        <v>0.392</v>
      </c>
      <c r="S244" s="16" t="n">
        <v>0.07</v>
      </c>
      <c r="T244" s="6" t="n">
        <v>0</v>
      </c>
    </row>
    <row r="245" customFormat="false" ht="15" hidden="false" customHeight="false" outlineLevel="0" collapsed="false">
      <c r="A245" s="15" t="s">
        <v>606</v>
      </c>
      <c r="B245" s="15" t="s">
        <v>607</v>
      </c>
      <c r="C245" s="15" t="s">
        <v>77</v>
      </c>
      <c r="D245" s="6" t="n">
        <v>78818</v>
      </c>
      <c r="E245" s="6" t="n">
        <v>20608</v>
      </c>
      <c r="F245" s="16" t="n">
        <v>0.261</v>
      </c>
      <c r="G245" s="16" t="n">
        <v>0.042</v>
      </c>
      <c r="H245" s="16" t="n">
        <v>0.109</v>
      </c>
      <c r="I245" s="16" t="n">
        <v>0.052</v>
      </c>
      <c r="J245" s="6" t="n">
        <v>8</v>
      </c>
      <c r="K245" s="6" t="n">
        <v>10</v>
      </c>
      <c r="L245" s="7" t="n">
        <f aca="false">K245-J245</f>
        <v>2</v>
      </c>
      <c r="M245" s="10" t="n">
        <f aca="false">IF(J245=0,"",K245/J245-1)</f>
        <v>0.25</v>
      </c>
      <c r="N245" s="17" t="n">
        <f aca="false">K245/D245*10000</f>
        <v>1.2687457179832</v>
      </c>
      <c r="O245" s="7" t="n">
        <f aca="false">IF(K245=0,"none",D245/K245)</f>
        <v>7881.8</v>
      </c>
      <c r="P245" s="7" t="n">
        <f aca="false">IF(K245=0,"none",E245/K245)</f>
        <v>2060.8</v>
      </c>
      <c r="Q245" s="16" t="n">
        <v>0.125</v>
      </c>
      <c r="R245" s="16" t="n">
        <v>0.384</v>
      </c>
      <c r="S245" s="16" t="n">
        <v>0.052</v>
      </c>
      <c r="T245" s="6" t="n">
        <v>0</v>
      </c>
    </row>
    <row r="246" customFormat="false" ht="15" hidden="false" customHeight="false" outlineLevel="0" collapsed="false">
      <c r="A246" s="15" t="s">
        <v>608</v>
      </c>
      <c r="B246" s="15" t="s">
        <v>609</v>
      </c>
      <c r="C246" s="15" t="s">
        <v>77</v>
      </c>
      <c r="D246" s="6" t="n">
        <v>26985</v>
      </c>
      <c r="E246" s="6" t="n">
        <v>3682</v>
      </c>
      <c r="F246" s="16" t="n">
        <v>0.136</v>
      </c>
      <c r="G246" s="16" t="n">
        <v>0.018</v>
      </c>
      <c r="H246" s="16" t="n">
        <v>0.126</v>
      </c>
      <c r="I246" s="16" t="n">
        <v>0.038</v>
      </c>
      <c r="J246" s="6" t="n">
        <v>2</v>
      </c>
      <c r="K246" s="6" t="n">
        <v>2</v>
      </c>
      <c r="L246" s="7" t="n">
        <f aca="false">K246-J246</f>
        <v>0</v>
      </c>
      <c r="M246" s="10" t="n">
        <f aca="false">IF(J246=0,"",K246/J246-1)</f>
        <v>0</v>
      </c>
      <c r="N246" s="17" t="n">
        <f aca="false">K246/D246*10000</f>
        <v>0.741152492125255</v>
      </c>
      <c r="O246" s="7" t="n">
        <f aca="false">IF(K246=0,"none",D246/K246)</f>
        <v>13492.5</v>
      </c>
      <c r="P246" s="7" t="n">
        <f aca="false">IF(K246=0,"none",E246/K246)</f>
        <v>1841</v>
      </c>
      <c r="Q246" s="16" t="n">
        <v>0.116</v>
      </c>
      <c r="R246" s="16" t="n">
        <v>0.343</v>
      </c>
      <c r="S246" s="16" t="n">
        <v>0.07</v>
      </c>
      <c r="T246" s="6" t="n">
        <v>0</v>
      </c>
    </row>
    <row r="247" customFormat="false" ht="15" hidden="false" customHeight="false" outlineLevel="0" collapsed="false">
      <c r="A247" s="15" t="s">
        <v>610</v>
      </c>
      <c r="B247" s="15" t="s">
        <v>611</v>
      </c>
      <c r="C247" s="15" t="s">
        <v>77</v>
      </c>
      <c r="D247" s="6" t="n">
        <v>17845</v>
      </c>
      <c r="E247" s="6" t="n">
        <v>2923</v>
      </c>
      <c r="F247" s="16" t="n">
        <v>0.164</v>
      </c>
      <c r="G247" s="16" t="n">
        <v>0.032</v>
      </c>
      <c r="H247" s="16" t="n">
        <v>0.131</v>
      </c>
      <c r="I247" s="16" t="n">
        <v>0.058</v>
      </c>
      <c r="J247" s="6" t="n">
        <v>3</v>
      </c>
      <c r="K247" s="6" t="n">
        <v>3</v>
      </c>
      <c r="L247" s="7" t="n">
        <f aca="false">K247-J247</f>
        <v>0</v>
      </c>
      <c r="M247" s="10" t="n">
        <f aca="false">IF(J247=0,"",K247/J247-1)</f>
        <v>0</v>
      </c>
      <c r="N247" s="17" t="n">
        <f aca="false">K247/D247*10000</f>
        <v>1.68114317736061</v>
      </c>
      <c r="O247" s="7" t="n">
        <f aca="false">IF(K247=0,"none",D247/K247)</f>
        <v>5948.33333333333</v>
      </c>
      <c r="P247" s="7" t="n">
        <f aca="false">IF(K247=0,"none",E247/K247)</f>
        <v>974.333333333333</v>
      </c>
      <c r="Q247" s="16" t="n">
        <v>0.122</v>
      </c>
      <c r="R247" s="16" t="n">
        <v>0.365</v>
      </c>
      <c r="S247" s="16" t="n">
        <v>0.069</v>
      </c>
      <c r="T247" s="6" t="n">
        <v>0</v>
      </c>
    </row>
    <row r="248" customFormat="false" ht="15" hidden="false" customHeight="false" outlineLevel="0" collapsed="false">
      <c r="A248" s="15" t="s">
        <v>612</v>
      </c>
      <c r="B248" s="15" t="s">
        <v>613</v>
      </c>
      <c r="C248" s="15" t="s">
        <v>77</v>
      </c>
      <c r="D248" s="6" t="n">
        <v>6681</v>
      </c>
      <c r="E248" s="6" t="n">
        <v>1491</v>
      </c>
      <c r="F248" s="16" t="n">
        <v>0.223</v>
      </c>
      <c r="G248" s="16" t="n">
        <v>0.04</v>
      </c>
      <c r="H248" s="16" t="n">
        <v>0.256</v>
      </c>
      <c r="I248" s="16" t="n">
        <v>0.069</v>
      </c>
      <c r="J248" s="6" t="n">
        <v>0</v>
      </c>
      <c r="K248" s="6" t="n">
        <v>0</v>
      </c>
      <c r="L248" s="7" t="n">
        <f aca="false">K248-J248</f>
        <v>0</v>
      </c>
      <c r="M248" s="10" t="str">
        <f aca="false">IF(J248=0,"",K248/J248-1)</f>
        <v/>
      </c>
      <c r="N248" s="17" t="n">
        <f aca="false">K248/D248*10000</f>
        <v>0</v>
      </c>
      <c r="O248" s="7" t="str">
        <f aca="false">IF(K248=0,"none",D248/K248)</f>
        <v>none</v>
      </c>
      <c r="P248" s="7" t="str">
        <f aca="false">IF(K248=0,"none",E248/K248)</f>
        <v>none</v>
      </c>
      <c r="Q248" s="16" t="n">
        <v>0.17</v>
      </c>
      <c r="R248" s="16" t="n">
        <v>0.449</v>
      </c>
      <c r="S248" s="16" t="n">
        <v>0.089</v>
      </c>
      <c r="T248" s="6" t="n">
        <v>0</v>
      </c>
    </row>
    <row r="249" customFormat="false" ht="15" hidden="false" customHeight="false" outlineLevel="0" collapsed="false">
      <c r="A249" s="15" t="s">
        <v>614</v>
      </c>
      <c r="B249" s="15" t="s">
        <v>439</v>
      </c>
      <c r="C249" s="15" t="s">
        <v>77</v>
      </c>
      <c r="D249" s="6" t="n">
        <v>10866</v>
      </c>
      <c r="E249" s="6" t="n">
        <v>4277</v>
      </c>
      <c r="F249" s="16" t="n">
        <v>0.394</v>
      </c>
      <c r="G249" s="16" t="n">
        <v>0.04</v>
      </c>
      <c r="H249" s="16" t="n">
        <v>0.234</v>
      </c>
      <c r="I249" s="16" t="n">
        <v>0.07</v>
      </c>
      <c r="J249" s="6" t="n">
        <v>3</v>
      </c>
      <c r="K249" s="6" t="n">
        <v>3</v>
      </c>
      <c r="L249" s="7" t="n">
        <f aca="false">K249-J249</f>
        <v>0</v>
      </c>
      <c r="M249" s="10" t="n">
        <f aca="false">IF(J249=0,"",K249/J249-1)</f>
        <v>0</v>
      </c>
      <c r="N249" s="17" t="n">
        <f aca="false">K249/D249*10000</f>
        <v>2.76090557702927</v>
      </c>
      <c r="O249" s="7" t="n">
        <f aca="false">IF(K249=0,"none",D249/K249)</f>
        <v>3622</v>
      </c>
      <c r="P249" s="7" t="n">
        <f aca="false">IF(K249=0,"none",E249/K249)</f>
        <v>1425.66666666667</v>
      </c>
      <c r="Q249" s="16" t="n">
        <v>0.181</v>
      </c>
      <c r="R249" s="16" t="n">
        <v>0.491</v>
      </c>
      <c r="S249" s="16" t="n">
        <v>0.073</v>
      </c>
      <c r="T249" s="6" t="n">
        <v>0</v>
      </c>
    </row>
    <row r="250" customFormat="false" ht="15" hidden="false" customHeight="false" outlineLevel="0" collapsed="false">
      <c r="A250" s="15" t="s">
        <v>615</v>
      </c>
      <c r="B250" s="15" t="s">
        <v>616</v>
      </c>
      <c r="C250" s="15" t="s">
        <v>77</v>
      </c>
      <c r="D250" s="6" t="n">
        <v>22287</v>
      </c>
      <c r="E250" s="6" t="n">
        <v>4954</v>
      </c>
      <c r="F250" s="16" t="n">
        <v>0.222</v>
      </c>
      <c r="G250" s="16" t="n">
        <v>0.09</v>
      </c>
      <c r="H250" s="16" t="n">
        <v>0.373</v>
      </c>
      <c r="I250" s="16" t="n">
        <v>0.108</v>
      </c>
      <c r="J250" s="6" t="n">
        <v>6</v>
      </c>
      <c r="K250" s="6" t="n">
        <v>5</v>
      </c>
      <c r="L250" s="7" t="n">
        <f aca="false">K250-J250</f>
        <v>-1</v>
      </c>
      <c r="M250" s="10" t="n">
        <f aca="false">IF(J250=0,"",K250/J250-1)</f>
        <v>-0.166666666666667</v>
      </c>
      <c r="N250" s="17" t="n">
        <f aca="false">K250/D250*10000</f>
        <v>2.24346031318706</v>
      </c>
      <c r="O250" s="7" t="n">
        <f aca="false">IF(K250=0,"none",D250/K250)</f>
        <v>4457.4</v>
      </c>
      <c r="P250" s="7" t="n">
        <f aca="false">IF(K250=0,"none",E250/K250)</f>
        <v>990.8</v>
      </c>
      <c r="Q250" s="16" t="n">
        <v>0.173</v>
      </c>
      <c r="R250" s="16" t="n">
        <v>0.444</v>
      </c>
      <c r="S250" s="16" t="n">
        <v>0.103</v>
      </c>
      <c r="T250" s="6" t="n">
        <v>0</v>
      </c>
    </row>
    <row r="251" customFormat="false" ht="15" hidden="false" customHeight="false" outlineLevel="0" collapsed="false">
      <c r="A251" s="15" t="s">
        <v>617</v>
      </c>
      <c r="B251" s="15" t="s">
        <v>618</v>
      </c>
      <c r="C251" s="15" t="s">
        <v>77</v>
      </c>
      <c r="D251" s="6" t="n">
        <v>7346</v>
      </c>
      <c r="E251" s="6" t="n">
        <v>1075</v>
      </c>
      <c r="F251" s="16" t="n">
        <v>0.146</v>
      </c>
      <c r="G251" s="16" t="n">
        <v>0.11</v>
      </c>
      <c r="H251" s="16" t="n">
        <v>0.195</v>
      </c>
      <c r="I251" s="16" t="n">
        <v>0.021</v>
      </c>
      <c r="J251" s="6" t="n">
        <v>4</v>
      </c>
      <c r="K251" s="6" t="n">
        <v>4</v>
      </c>
      <c r="L251" s="7" t="n">
        <f aca="false">K251-J251</f>
        <v>0</v>
      </c>
      <c r="M251" s="10" t="n">
        <f aca="false">IF(J251=0,"",K251/J251-1)</f>
        <v>0</v>
      </c>
      <c r="N251" s="17" t="n">
        <f aca="false">K251/D251*10000</f>
        <v>5.44514021236047</v>
      </c>
      <c r="O251" s="7" t="n">
        <f aca="false">IF(K251=0,"none",D251/K251)</f>
        <v>1836.5</v>
      </c>
      <c r="P251" s="7" t="n">
        <f aca="false">IF(K251=0,"none",E251/K251)</f>
        <v>268.75</v>
      </c>
      <c r="Q251" s="16" t="n">
        <v>0.078</v>
      </c>
      <c r="R251" s="16" t="n">
        <v>0.253</v>
      </c>
      <c r="S251" s="16" t="n">
        <v>0.076</v>
      </c>
      <c r="T251" s="6" t="n">
        <v>0</v>
      </c>
    </row>
    <row r="252" customFormat="false" ht="15" hidden="false" customHeight="false" outlineLevel="0" collapsed="false">
      <c r="A252" s="15" t="s">
        <v>619</v>
      </c>
      <c r="B252" s="15" t="s">
        <v>620</v>
      </c>
      <c r="C252" s="15" t="s">
        <v>77</v>
      </c>
      <c r="D252" s="6" t="n">
        <v>420773</v>
      </c>
      <c r="E252" s="6" t="n">
        <v>41972</v>
      </c>
      <c r="F252" s="16" t="n">
        <v>0.1</v>
      </c>
      <c r="G252" s="16" t="n">
        <v>0.031</v>
      </c>
      <c r="H252" s="16" t="n">
        <v>0.064</v>
      </c>
      <c r="I252" s="16" t="n">
        <v>0.053</v>
      </c>
      <c r="J252" s="6" t="n">
        <v>57</v>
      </c>
      <c r="K252" s="6" t="n">
        <v>57</v>
      </c>
      <c r="L252" s="7" t="n">
        <f aca="false">K252-J252</f>
        <v>0</v>
      </c>
      <c r="M252" s="10" t="n">
        <f aca="false">IF(J252=0,"",K252/J252-1)</f>
        <v>0</v>
      </c>
      <c r="N252" s="17" t="n">
        <f aca="false">K252/D252*10000</f>
        <v>1.35464965670326</v>
      </c>
      <c r="O252" s="7" t="n">
        <f aca="false">IF(K252=0,"none",D252/K252)</f>
        <v>7381.98245614035</v>
      </c>
      <c r="P252" s="7" t="n">
        <f aca="false">IF(K252=0,"none",E252/K252)</f>
        <v>736.350877192983</v>
      </c>
      <c r="Q252" s="16" t="n">
        <v>0.095</v>
      </c>
      <c r="R252" s="16" t="n">
        <v>0.298</v>
      </c>
      <c r="S252" s="16" t="n">
        <v>0.05</v>
      </c>
      <c r="T252" s="6" t="n">
        <v>0</v>
      </c>
    </row>
    <row r="253" customFormat="false" ht="15" hidden="false" customHeight="false" outlineLevel="0" collapsed="false">
      <c r="A253" s="15" t="s">
        <v>621</v>
      </c>
      <c r="B253" s="15" t="s">
        <v>622</v>
      </c>
      <c r="C253" s="15" t="s">
        <v>77</v>
      </c>
      <c r="D253" s="6" t="n">
        <v>38106</v>
      </c>
      <c r="E253" s="6" t="n">
        <v>7709</v>
      </c>
      <c r="F253" s="16" t="n">
        <v>0.202</v>
      </c>
      <c r="G253" s="16" t="n">
        <v>0.035</v>
      </c>
      <c r="H253" s="16" t="n">
        <v>0.168</v>
      </c>
      <c r="I253" s="16" t="n">
        <v>0.071</v>
      </c>
      <c r="J253" s="6" t="n">
        <v>4</v>
      </c>
      <c r="K253" s="6" t="n">
        <v>4</v>
      </c>
      <c r="L253" s="7" t="n">
        <f aca="false">K253-J253</f>
        <v>0</v>
      </c>
      <c r="M253" s="10" t="n">
        <f aca="false">IF(J253=0,"",K253/J253-1)</f>
        <v>0</v>
      </c>
      <c r="N253" s="17" t="n">
        <f aca="false">K253/D253*10000</f>
        <v>1.0497034587729</v>
      </c>
      <c r="O253" s="7" t="n">
        <f aca="false">IF(K253=0,"none",D253/K253)</f>
        <v>9526.5</v>
      </c>
      <c r="P253" s="7" t="n">
        <f aca="false">IF(K253=0,"none",E253/K253)</f>
        <v>1927.25</v>
      </c>
      <c r="Q253" s="16" t="n">
        <v>0.141</v>
      </c>
      <c r="R253" s="16" t="n">
        <v>0.4</v>
      </c>
      <c r="S253" s="16" t="n">
        <v>0.073</v>
      </c>
      <c r="T253" s="6" t="n">
        <v>0</v>
      </c>
    </row>
    <row r="254" customFormat="false" ht="15" hidden="false" customHeight="false" outlineLevel="0" collapsed="false">
      <c r="A254" s="15" t="s">
        <v>623</v>
      </c>
      <c r="B254" s="15" t="s">
        <v>624</v>
      </c>
      <c r="C254" s="15" t="s">
        <v>77</v>
      </c>
      <c r="D254" s="6" t="n">
        <v>11988</v>
      </c>
      <c r="E254" s="6" t="n">
        <v>2678</v>
      </c>
      <c r="F254" s="16" t="n">
        <v>0.223</v>
      </c>
      <c r="G254" s="16" t="n">
        <v>0.077</v>
      </c>
      <c r="H254" s="16" t="n">
        <v>0.256</v>
      </c>
      <c r="I254" s="16" t="n">
        <v>0.109</v>
      </c>
      <c r="J254" s="6" t="n">
        <v>3</v>
      </c>
      <c r="K254" s="6" t="n">
        <v>2</v>
      </c>
      <c r="L254" s="7" t="n">
        <f aca="false">K254-J254</f>
        <v>-1</v>
      </c>
      <c r="M254" s="10" t="n">
        <f aca="false">IF(J254=0,"",K254/J254-1)</f>
        <v>-0.333333333333333</v>
      </c>
      <c r="N254" s="17" t="n">
        <f aca="false">K254/D254*10000</f>
        <v>1.66833500166834</v>
      </c>
      <c r="O254" s="7" t="n">
        <f aca="false">IF(K254=0,"none",D254/K254)</f>
        <v>5994</v>
      </c>
      <c r="P254" s="7" t="n">
        <f aca="false">IF(K254=0,"none",E254/K254)</f>
        <v>1339</v>
      </c>
      <c r="Q254" s="16" t="n">
        <v>0.189</v>
      </c>
      <c r="R254" s="16" t="n">
        <v>0.46</v>
      </c>
      <c r="S254" s="16" t="n">
        <v>0.111</v>
      </c>
      <c r="T254" s="6" t="n">
        <v>0</v>
      </c>
    </row>
    <row r="255" customFormat="false" ht="15" hidden="false" customHeight="false" outlineLevel="0" collapsed="false">
      <c r="A255" s="15" t="s">
        <v>625</v>
      </c>
      <c r="B255" s="15" t="s">
        <v>626</v>
      </c>
      <c r="C255" s="15" t="s">
        <v>77</v>
      </c>
      <c r="D255" s="6" t="n">
        <v>79166</v>
      </c>
      <c r="E255" s="6" t="n">
        <v>11308</v>
      </c>
      <c r="F255" s="16" t="n">
        <v>0.143</v>
      </c>
      <c r="G255" s="16" t="n">
        <v>0.106</v>
      </c>
      <c r="H255" s="16" t="n">
        <v>0.272</v>
      </c>
      <c r="I255" s="16" t="n">
        <v>0.069</v>
      </c>
      <c r="J255" s="6" t="n">
        <v>19</v>
      </c>
      <c r="K255" s="6" t="n">
        <v>15</v>
      </c>
      <c r="L255" s="7" t="n">
        <f aca="false">K255-J255</f>
        <v>-4</v>
      </c>
      <c r="M255" s="10" t="n">
        <f aca="false">IF(J255=0,"",K255/J255-1)</f>
        <v>-0.210526315789474</v>
      </c>
      <c r="N255" s="17" t="n">
        <f aca="false">K255/D255*10000</f>
        <v>1.8947527979183</v>
      </c>
      <c r="O255" s="7" t="n">
        <f aca="false">IF(K255=0,"none",D255/K255)</f>
        <v>5277.73333333333</v>
      </c>
      <c r="P255" s="7" t="n">
        <f aca="false">IF(K255=0,"none",E255/K255)</f>
        <v>753.866666666667</v>
      </c>
      <c r="Q255" s="16" t="n">
        <v>0.11</v>
      </c>
      <c r="R255" s="16" t="n">
        <v>0.325</v>
      </c>
      <c r="S255" s="16" t="n">
        <v>0.098</v>
      </c>
      <c r="T255" s="6" t="n">
        <v>0</v>
      </c>
    </row>
    <row r="256" customFormat="false" ht="15" hidden="false" customHeight="false" outlineLevel="0" collapsed="false">
      <c r="A256" s="15" t="s">
        <v>627</v>
      </c>
      <c r="B256" s="15" t="s">
        <v>310</v>
      </c>
      <c r="C256" s="15" t="s">
        <v>77</v>
      </c>
      <c r="D256" s="6" t="n">
        <v>13828</v>
      </c>
      <c r="E256" s="6" t="n">
        <v>3217</v>
      </c>
      <c r="F256" s="16" t="n">
        <v>0.233</v>
      </c>
      <c r="G256" s="16" t="n">
        <v>0.029</v>
      </c>
      <c r="H256" s="16" t="n">
        <v>0.199</v>
      </c>
      <c r="I256" s="16" t="n">
        <v>0.056</v>
      </c>
      <c r="J256" s="6" t="n">
        <v>2</v>
      </c>
      <c r="K256" s="6" t="n">
        <v>2</v>
      </c>
      <c r="L256" s="7" t="n">
        <f aca="false">K256-J256</f>
        <v>0</v>
      </c>
      <c r="M256" s="10" t="n">
        <f aca="false">IF(J256=0,"",K256/J256-1)</f>
        <v>0</v>
      </c>
      <c r="N256" s="17" t="n">
        <f aca="false">K256/D256*10000</f>
        <v>1.44634075788256</v>
      </c>
      <c r="O256" s="7" t="n">
        <f aca="false">IF(K256=0,"none",D256/K256)</f>
        <v>6914</v>
      </c>
      <c r="P256" s="7" t="n">
        <f aca="false">IF(K256=0,"none",E256/K256)</f>
        <v>1608.5</v>
      </c>
      <c r="Q256" s="16" t="n">
        <v>0.137</v>
      </c>
      <c r="R256" s="16" t="n">
        <v>0.394</v>
      </c>
      <c r="S256" s="16" t="n">
        <v>0.066</v>
      </c>
      <c r="T256" s="6" t="n">
        <v>0</v>
      </c>
    </row>
    <row r="257" customFormat="false" ht="15" hidden="false" customHeight="false" outlineLevel="0" collapsed="false">
      <c r="A257" s="15" t="s">
        <v>628</v>
      </c>
      <c r="B257" s="15" t="s">
        <v>629</v>
      </c>
      <c r="C257" s="15" t="s">
        <v>77</v>
      </c>
      <c r="D257" s="6" t="n">
        <v>42620</v>
      </c>
      <c r="E257" s="6" t="n">
        <v>4569</v>
      </c>
      <c r="F257" s="16" t="n">
        <v>0.107</v>
      </c>
      <c r="G257" s="16" t="n">
        <v>0.037</v>
      </c>
      <c r="H257" s="16" t="n">
        <v>0.105</v>
      </c>
      <c r="I257" s="16" t="n">
        <v>0.197</v>
      </c>
      <c r="J257" s="6" t="n">
        <v>9</v>
      </c>
      <c r="K257" s="6" t="n">
        <v>9</v>
      </c>
      <c r="L257" s="7" t="n">
        <f aca="false">K257-J257</f>
        <v>0</v>
      </c>
      <c r="M257" s="10" t="n">
        <f aca="false">IF(J257=0,"",K257/J257-1)</f>
        <v>0</v>
      </c>
      <c r="N257" s="17" t="n">
        <f aca="false">K257/D257*10000</f>
        <v>2.11168465509151</v>
      </c>
      <c r="O257" s="7" t="n">
        <f aca="false">IF(K257=0,"none",D257/K257)</f>
        <v>4735.55555555556</v>
      </c>
      <c r="P257" s="7" t="n">
        <f aca="false">IF(K257=0,"none",E257/K257)</f>
        <v>507.666666666667</v>
      </c>
      <c r="Q257" s="16" t="n">
        <v>0.12</v>
      </c>
      <c r="R257" s="16" t="n">
        <v>0.309</v>
      </c>
      <c r="S257" s="16" t="n">
        <v>0.084</v>
      </c>
      <c r="T257" s="6" t="n">
        <v>0</v>
      </c>
    </row>
    <row r="258" customFormat="false" ht="15" hidden="false" customHeight="false" outlineLevel="0" collapsed="false">
      <c r="A258" s="15" t="s">
        <v>630</v>
      </c>
      <c r="B258" s="15" t="s">
        <v>631</v>
      </c>
      <c r="C258" s="15" t="s">
        <v>77</v>
      </c>
      <c r="D258" s="6" t="n">
        <v>17123</v>
      </c>
      <c r="E258" s="6" t="n">
        <v>1679</v>
      </c>
      <c r="F258" s="16" t="n">
        <v>0.098</v>
      </c>
      <c r="G258" s="16" t="n">
        <v>0.048</v>
      </c>
      <c r="H258" s="16" t="n">
        <v>0.176</v>
      </c>
      <c r="I258" s="16" t="n">
        <v>0.192</v>
      </c>
      <c r="J258" s="6" t="n">
        <v>0</v>
      </c>
      <c r="K258" s="6" t="n">
        <v>0</v>
      </c>
      <c r="L258" s="7" t="n">
        <f aca="false">K258-J258</f>
        <v>0</v>
      </c>
      <c r="M258" s="10" t="str">
        <f aca="false">IF(J258=0,"",K258/J258-1)</f>
        <v/>
      </c>
      <c r="N258" s="17" t="n">
        <f aca="false">K258/D258*10000</f>
        <v>0</v>
      </c>
      <c r="O258" s="7" t="str">
        <f aca="false">IF(K258=0,"none",D258/K258)</f>
        <v>none</v>
      </c>
      <c r="P258" s="7" t="str">
        <f aca="false">IF(K258=0,"none",E258/K258)</f>
        <v>none</v>
      </c>
      <c r="Q258" s="16" t="n">
        <v>0.138</v>
      </c>
      <c r="R258" s="16" t="n">
        <v>0.331</v>
      </c>
      <c r="S258" s="16" t="n">
        <v>0.104</v>
      </c>
      <c r="T258" s="6" t="n">
        <v>0</v>
      </c>
    </row>
    <row r="259" customFormat="false" ht="15" hidden="false" customHeight="false" outlineLevel="0" collapsed="false">
      <c r="A259" s="15" t="s">
        <v>632</v>
      </c>
      <c r="B259" s="15" t="s">
        <v>633</v>
      </c>
      <c r="C259" s="15" t="s">
        <v>77</v>
      </c>
      <c r="D259" s="6" t="n">
        <v>13539</v>
      </c>
      <c r="E259" s="6" t="n">
        <v>2401</v>
      </c>
      <c r="F259" s="16" t="n">
        <v>0.177</v>
      </c>
      <c r="G259" s="16" t="n">
        <v>0.132</v>
      </c>
      <c r="H259" s="16" t="n">
        <v>0.379</v>
      </c>
      <c r="I259" s="16" t="n">
        <v>0.104</v>
      </c>
      <c r="J259" s="6" t="n">
        <v>5</v>
      </c>
      <c r="K259" s="6" t="n">
        <v>6</v>
      </c>
      <c r="L259" s="7" t="n">
        <f aca="false">K259-J259</f>
        <v>1</v>
      </c>
      <c r="M259" s="10" t="n">
        <f aca="false">IF(J259=0,"",K259/J259-1)</f>
        <v>0.2</v>
      </c>
      <c r="N259" s="17" t="n">
        <f aca="false">K259/D259*10000</f>
        <v>4.43164192333259</v>
      </c>
      <c r="O259" s="7" t="n">
        <f aca="false">IF(K259=0,"none",D259/K259)</f>
        <v>2256.5</v>
      </c>
      <c r="P259" s="7" t="n">
        <f aca="false">IF(K259=0,"none",E259/K259)</f>
        <v>400.166666666667</v>
      </c>
      <c r="Q259" s="16" t="n">
        <v>0.186</v>
      </c>
      <c r="R259" s="16" t="n">
        <v>0.449</v>
      </c>
      <c r="S259" s="16" t="n">
        <v>0.138</v>
      </c>
      <c r="T259" s="6" t="n">
        <v>0</v>
      </c>
    </row>
    <row r="260" customFormat="false" ht="15" hidden="false" customHeight="false" outlineLevel="0" collapsed="false">
      <c r="A260" s="15" t="s">
        <v>634</v>
      </c>
      <c r="B260" s="15" t="s">
        <v>635</v>
      </c>
      <c r="C260" s="15" t="s">
        <v>77</v>
      </c>
      <c r="D260" s="6" t="n">
        <v>8537</v>
      </c>
      <c r="E260" s="6" t="n">
        <v>2623</v>
      </c>
      <c r="F260" s="16" t="n">
        <v>0.307</v>
      </c>
      <c r="G260" s="16" t="n">
        <v>0.006</v>
      </c>
      <c r="H260" s="16" t="n">
        <v>0.122</v>
      </c>
      <c r="I260" s="16" t="n">
        <v>0.084</v>
      </c>
      <c r="J260" s="6" t="n">
        <v>1</v>
      </c>
      <c r="K260" s="6" t="n">
        <v>1</v>
      </c>
      <c r="L260" s="7" t="n">
        <f aca="false">K260-J260</f>
        <v>0</v>
      </c>
      <c r="M260" s="10" t="n">
        <f aca="false">IF(J260=0,"",K260/J260-1)</f>
        <v>0</v>
      </c>
      <c r="N260" s="17" t="n">
        <f aca="false">K260/D260*10000</f>
        <v>1.17137167623287</v>
      </c>
      <c r="O260" s="7" t="n">
        <f aca="false">IF(K260=0,"none",D260/K260)</f>
        <v>8537</v>
      </c>
      <c r="P260" s="7" t="n">
        <f aca="false">IF(K260=0,"none",E260/K260)</f>
        <v>2623</v>
      </c>
      <c r="Q260" s="16" t="n">
        <v>0.152</v>
      </c>
      <c r="R260" s="16" t="n">
        <v>0.431</v>
      </c>
      <c r="S260" s="16" t="n">
        <v>0.059</v>
      </c>
      <c r="T260" s="6" t="n">
        <v>0</v>
      </c>
    </row>
    <row r="261" customFormat="false" ht="15" hidden="false" customHeight="false" outlineLevel="0" collapsed="false">
      <c r="A261" s="15" t="s">
        <v>636</v>
      </c>
      <c r="B261" s="15" t="s">
        <v>637</v>
      </c>
      <c r="C261" s="15" t="s">
        <v>77</v>
      </c>
      <c r="D261" s="6" t="n">
        <v>30367</v>
      </c>
      <c r="E261" s="6" t="n">
        <v>7944</v>
      </c>
      <c r="F261" s="16" t="n">
        <v>0.262</v>
      </c>
      <c r="G261" s="16" t="n">
        <v>0.075</v>
      </c>
      <c r="H261" s="16" t="n">
        <v>0.281</v>
      </c>
      <c r="I261" s="16" t="n">
        <v>0.074</v>
      </c>
      <c r="J261" s="6" t="n">
        <v>9</v>
      </c>
      <c r="K261" s="6" t="n">
        <v>8</v>
      </c>
      <c r="L261" s="7" t="n">
        <f aca="false">K261-J261</f>
        <v>-1</v>
      </c>
      <c r="M261" s="10" t="n">
        <f aca="false">IF(J261=0,"",K261/J261-1)</f>
        <v>-0.111111111111111</v>
      </c>
      <c r="N261" s="17" t="n">
        <f aca="false">K261/D261*10000</f>
        <v>2.6344386999045</v>
      </c>
      <c r="O261" s="7" t="n">
        <f aca="false">IF(K261=0,"none",D261/K261)</f>
        <v>3795.875</v>
      </c>
      <c r="P261" s="7" t="n">
        <f aca="false">IF(K261=0,"none",E261/K261)</f>
        <v>993</v>
      </c>
      <c r="Q261" s="16" t="n">
        <v>0.186</v>
      </c>
      <c r="R261" s="16" t="n">
        <v>0.467</v>
      </c>
      <c r="S261" s="16" t="n">
        <v>0.097</v>
      </c>
      <c r="T261" s="6" t="n">
        <v>0</v>
      </c>
    </row>
    <row r="262" customFormat="false" ht="15" hidden="false" customHeight="false" outlineLevel="0" collapsed="false">
      <c r="A262" s="15" t="s">
        <v>638</v>
      </c>
      <c r="B262" s="15" t="s">
        <v>243</v>
      </c>
      <c r="C262" s="15" t="s">
        <v>77</v>
      </c>
      <c r="D262" s="6" t="n">
        <v>10738</v>
      </c>
      <c r="E262" s="6" t="n">
        <v>3604</v>
      </c>
      <c r="F262" s="16" t="n">
        <v>0.336</v>
      </c>
      <c r="G262" s="16" t="n">
        <v>0.028</v>
      </c>
      <c r="H262" s="16" t="n">
        <v>0.164</v>
      </c>
      <c r="I262" s="16" t="n">
        <v>0.064</v>
      </c>
      <c r="J262" s="6" t="n">
        <v>2</v>
      </c>
      <c r="K262" s="6" t="n">
        <v>2</v>
      </c>
      <c r="L262" s="7" t="n">
        <f aca="false">K262-J262</f>
        <v>0</v>
      </c>
      <c r="M262" s="10" t="n">
        <f aca="false">IF(J262=0,"",K262/J262-1)</f>
        <v>0</v>
      </c>
      <c r="N262" s="17" t="n">
        <f aca="false">K262/D262*10000</f>
        <v>1.86254423542559</v>
      </c>
      <c r="O262" s="7" t="n">
        <f aca="false">IF(K262=0,"none",D262/K262)</f>
        <v>5369</v>
      </c>
      <c r="P262" s="7" t="n">
        <f aca="false">IF(K262=0,"none",E262/K262)</f>
        <v>1802</v>
      </c>
      <c r="Q262" s="16" t="n">
        <v>0.165</v>
      </c>
      <c r="R262" s="16" t="n">
        <v>0.45</v>
      </c>
      <c r="S262" s="16" t="n">
        <v>0.065</v>
      </c>
      <c r="T262" s="6" t="n">
        <v>0</v>
      </c>
    </row>
    <row r="263" customFormat="false" ht="15" hidden="false" customHeight="false" outlineLevel="0" collapsed="false">
      <c r="A263" s="15" t="s">
        <v>639</v>
      </c>
      <c r="B263" s="15" t="s">
        <v>203</v>
      </c>
      <c r="C263" s="15" t="s">
        <v>77</v>
      </c>
      <c r="D263" s="6" t="n">
        <v>99373</v>
      </c>
      <c r="E263" s="6" t="n">
        <v>13136</v>
      </c>
      <c r="F263" s="16" t="n">
        <v>0.132</v>
      </c>
      <c r="G263" s="16" t="n">
        <v>0.055</v>
      </c>
      <c r="H263" s="16" t="n">
        <v>0.3</v>
      </c>
      <c r="I263" s="16" t="n">
        <v>0.053</v>
      </c>
      <c r="J263" s="6" t="n">
        <v>18</v>
      </c>
      <c r="K263" s="6" t="n">
        <v>20</v>
      </c>
      <c r="L263" s="7" t="n">
        <f aca="false">K263-J263</f>
        <v>2</v>
      </c>
      <c r="M263" s="10" t="n">
        <f aca="false">IF(J263=0,"",K263/J263-1)</f>
        <v>0.111111111111111</v>
      </c>
      <c r="N263" s="17" t="n">
        <f aca="false">K263/D263*10000</f>
        <v>2.01261912189428</v>
      </c>
      <c r="O263" s="7" t="n">
        <f aca="false">IF(K263=0,"none",D263/K263)</f>
        <v>4968.65</v>
      </c>
      <c r="P263" s="7" t="n">
        <f aca="false">IF(K263=0,"none",E263/K263)</f>
        <v>656.8</v>
      </c>
      <c r="Q263" s="16" t="n">
        <v>0.096</v>
      </c>
      <c r="R263" s="16" t="n">
        <v>0.294</v>
      </c>
      <c r="S263" s="16" t="n">
        <v>0.079</v>
      </c>
      <c r="T263" s="6" t="n">
        <v>0</v>
      </c>
    </row>
    <row r="264" customFormat="false" ht="15" hidden="false" customHeight="false" outlineLevel="0" collapsed="false">
      <c r="A264" s="15" t="s">
        <v>640</v>
      </c>
      <c r="B264" s="15" t="s">
        <v>641</v>
      </c>
      <c r="C264" s="15" t="s">
        <v>77</v>
      </c>
      <c r="D264" s="6" t="n">
        <v>14773</v>
      </c>
      <c r="E264" s="6" t="n">
        <v>4203</v>
      </c>
      <c r="F264" s="16" t="n">
        <v>0.285</v>
      </c>
      <c r="G264" s="16" t="n">
        <v>0.058</v>
      </c>
      <c r="H264" s="16" t="n">
        <v>0.182</v>
      </c>
      <c r="I264" s="16" t="n">
        <v>0.086</v>
      </c>
      <c r="J264" s="6" t="n">
        <v>2</v>
      </c>
      <c r="K264" s="6" t="n">
        <v>0</v>
      </c>
      <c r="L264" s="7" t="n">
        <f aca="false">K264-J264</f>
        <v>-2</v>
      </c>
      <c r="M264" s="10" t="n">
        <f aca="false">IF(J264=0,"",K264/J264-1)</f>
        <v>-1</v>
      </c>
      <c r="N264" s="17" t="n">
        <f aca="false">K264/D264*10000</f>
        <v>0</v>
      </c>
      <c r="O264" s="7" t="str">
        <f aca="false">IF(K264=0,"none",D264/K264)</f>
        <v>none</v>
      </c>
      <c r="P264" s="7" t="str">
        <f aca="false">IF(K264=0,"none",E264/K264)</f>
        <v>none</v>
      </c>
      <c r="Q264" s="16" t="n">
        <v>0.156</v>
      </c>
      <c r="R264" s="16" t="n">
        <v>0.434</v>
      </c>
      <c r="S264" s="16" t="n">
        <v>0.066</v>
      </c>
      <c r="T264" s="6" t="n">
        <v>0</v>
      </c>
    </row>
    <row r="265" customFormat="false" ht="15" hidden="false" customHeight="false" outlineLevel="0" collapsed="false">
      <c r="A265" s="15" t="s">
        <v>642</v>
      </c>
      <c r="B265" s="15" t="s">
        <v>643</v>
      </c>
      <c r="C265" s="15" t="s">
        <v>77</v>
      </c>
      <c r="D265" s="6" t="n">
        <v>23296</v>
      </c>
      <c r="E265" s="6" t="n">
        <v>4200</v>
      </c>
      <c r="F265" s="16" t="n">
        <v>0.18</v>
      </c>
      <c r="G265" s="16" t="n">
        <v>0.015</v>
      </c>
      <c r="H265" s="16" t="n">
        <v>0.077</v>
      </c>
      <c r="I265" s="16" t="n">
        <v>0.037</v>
      </c>
      <c r="J265" s="6" t="n">
        <v>3</v>
      </c>
      <c r="K265" s="6" t="n">
        <v>3</v>
      </c>
      <c r="L265" s="7" t="n">
        <f aca="false">K265-J265</f>
        <v>0</v>
      </c>
      <c r="M265" s="10" t="n">
        <f aca="false">IF(J265=0,"",K265/J265-1)</f>
        <v>0</v>
      </c>
      <c r="N265" s="17" t="n">
        <f aca="false">K265/D265*10000</f>
        <v>1.28777472527473</v>
      </c>
      <c r="O265" s="7" t="n">
        <f aca="false">IF(K265=0,"none",D265/K265)</f>
        <v>7765.33333333333</v>
      </c>
      <c r="P265" s="7" t="n">
        <f aca="false">IF(K265=0,"none",E265/K265)</f>
        <v>1400</v>
      </c>
      <c r="Q265" s="16" t="n">
        <v>0.119</v>
      </c>
      <c r="R265" s="16" t="n">
        <v>0.356</v>
      </c>
      <c r="S265" s="16" t="n">
        <v>0.062</v>
      </c>
      <c r="T265" s="6" t="n">
        <v>0</v>
      </c>
    </row>
    <row r="266" customFormat="false" ht="15" hidden="false" customHeight="false" outlineLevel="0" collapsed="false">
      <c r="A266" s="15" t="s">
        <v>644</v>
      </c>
      <c r="B266" s="15" t="s">
        <v>645</v>
      </c>
      <c r="C266" s="15" t="s">
        <v>77</v>
      </c>
      <c r="D266" s="6" t="n">
        <v>185118</v>
      </c>
      <c r="E266" s="6" t="n">
        <v>24794</v>
      </c>
      <c r="F266" s="16" t="n">
        <v>0.134</v>
      </c>
      <c r="G266" s="16" t="n">
        <v>0.097</v>
      </c>
      <c r="H266" s="16" t="n">
        <v>0.232</v>
      </c>
      <c r="I266" s="16" t="n">
        <v>0.086</v>
      </c>
      <c r="J266" s="6" t="n">
        <v>30</v>
      </c>
      <c r="K266" s="6" t="n">
        <v>24</v>
      </c>
      <c r="L266" s="7" t="n">
        <f aca="false">K266-J266</f>
        <v>-6</v>
      </c>
      <c r="M266" s="10" t="n">
        <f aca="false">IF(J266=0,"",K266/J266-1)</f>
        <v>-0.2</v>
      </c>
      <c r="N266" s="17" t="n">
        <f aca="false">K266/D266*10000</f>
        <v>1.29647035944641</v>
      </c>
      <c r="O266" s="7" t="n">
        <f aca="false">IF(K266=0,"none",D266/K266)</f>
        <v>7713.25</v>
      </c>
      <c r="P266" s="7" t="n">
        <f aca="false">IF(K266=0,"none",E266/K266)</f>
        <v>1033.08333333333</v>
      </c>
      <c r="Q266" s="16" t="n">
        <v>0.135</v>
      </c>
      <c r="R266" s="16" t="n">
        <v>0.376</v>
      </c>
      <c r="S266" s="16" t="n">
        <v>0.102</v>
      </c>
      <c r="T266" s="6" t="n">
        <v>0</v>
      </c>
    </row>
    <row r="267" customFormat="false" ht="15" hidden="false" customHeight="false" outlineLevel="0" collapsed="false">
      <c r="A267" s="15" t="s">
        <v>646</v>
      </c>
      <c r="B267" s="15" t="s">
        <v>647</v>
      </c>
      <c r="C267" s="15" t="s">
        <v>77</v>
      </c>
      <c r="D267" s="6" t="n">
        <v>236973</v>
      </c>
      <c r="E267" s="6" t="n">
        <v>29116</v>
      </c>
      <c r="F267" s="16" t="n">
        <v>0.123</v>
      </c>
      <c r="G267" s="16" t="n">
        <v>0.118</v>
      </c>
      <c r="H267" s="16" t="n">
        <v>0.262</v>
      </c>
      <c r="I267" s="16" t="n">
        <v>0.1</v>
      </c>
      <c r="J267" s="6" t="n">
        <v>35</v>
      </c>
      <c r="K267" s="6" t="n">
        <v>31</v>
      </c>
      <c r="L267" s="7" t="n">
        <f aca="false">K267-J267</f>
        <v>-4</v>
      </c>
      <c r="M267" s="10" t="n">
        <f aca="false">IF(J267=0,"",K267/J267-1)</f>
        <v>-0.114285714285714</v>
      </c>
      <c r="N267" s="17" t="n">
        <f aca="false">K267/D267*10000</f>
        <v>1.30816590919641</v>
      </c>
      <c r="O267" s="7" t="n">
        <f aca="false">IF(K267=0,"none",D267/K267)</f>
        <v>7644.29032258065</v>
      </c>
      <c r="P267" s="7" t="n">
        <f aca="false">IF(K267=0,"none",E267/K267)</f>
        <v>939.225806451613</v>
      </c>
      <c r="Q267" s="16" t="n">
        <v>0.127</v>
      </c>
      <c r="R267" s="16" t="n">
        <v>0.362</v>
      </c>
      <c r="S267" s="16" t="n">
        <v>0.11</v>
      </c>
      <c r="T267" s="6" t="n">
        <v>0</v>
      </c>
    </row>
    <row r="268" customFormat="false" ht="15" hidden="false" customHeight="false" outlineLevel="0" collapsed="false">
      <c r="A268" s="15" t="s">
        <v>648</v>
      </c>
      <c r="B268" s="15" t="s">
        <v>460</v>
      </c>
      <c r="C268" s="15" t="s">
        <v>77</v>
      </c>
      <c r="D268" s="6" t="n">
        <v>12132</v>
      </c>
      <c r="E268" s="6" t="n">
        <v>3349</v>
      </c>
      <c r="F268" s="16" t="n">
        <v>0.276</v>
      </c>
      <c r="G268" s="16" t="n">
        <v>0.103</v>
      </c>
      <c r="H268" s="16" t="n">
        <v>0.26</v>
      </c>
      <c r="I268" s="16" t="n">
        <v>0.103</v>
      </c>
      <c r="J268" s="6" t="n">
        <v>5</v>
      </c>
      <c r="K268" s="6" t="n">
        <v>4</v>
      </c>
      <c r="L268" s="7" t="n">
        <f aca="false">K268-J268</f>
        <v>-1</v>
      </c>
      <c r="M268" s="10" t="n">
        <f aca="false">IF(J268=0,"",K268/J268-1)</f>
        <v>-0.2</v>
      </c>
      <c r="N268" s="17" t="n">
        <f aca="false">K268/D268*10000</f>
        <v>3.29706561160567</v>
      </c>
      <c r="O268" s="7" t="n">
        <f aca="false">IF(K268=0,"none",D268/K268)</f>
        <v>3033</v>
      </c>
      <c r="P268" s="7" t="n">
        <f aca="false">IF(K268=0,"none",E268/K268)</f>
        <v>837.25</v>
      </c>
      <c r="Q268" s="16" t="n">
        <v>0.185</v>
      </c>
      <c r="R268" s="16" t="n">
        <v>0.471</v>
      </c>
      <c r="S268" s="16" t="n">
        <v>0.088</v>
      </c>
      <c r="T268" s="6" t="n">
        <v>0</v>
      </c>
    </row>
    <row r="269" customFormat="false" ht="15" hidden="false" customHeight="false" outlineLevel="0" collapsed="false">
      <c r="A269" s="15" t="s">
        <v>649</v>
      </c>
      <c r="B269" s="15" t="s">
        <v>462</v>
      </c>
      <c r="C269" s="15" t="s">
        <v>77</v>
      </c>
      <c r="D269" s="6" t="n">
        <v>12007</v>
      </c>
      <c r="E269" s="6" t="n">
        <v>4423</v>
      </c>
      <c r="F269" s="16" t="n">
        <v>0.368</v>
      </c>
      <c r="G269" s="16" t="n">
        <v>0.043</v>
      </c>
      <c r="H269" s="16" t="n">
        <v>0.203</v>
      </c>
      <c r="I269" s="16" t="n">
        <v>0.076</v>
      </c>
      <c r="J269" s="6" t="n">
        <v>4</v>
      </c>
      <c r="K269" s="6" t="n">
        <v>4</v>
      </c>
      <c r="L269" s="7" t="n">
        <f aca="false">K269-J269</f>
        <v>0</v>
      </c>
      <c r="M269" s="10" t="n">
        <f aca="false">IF(J269=0,"",K269/J269-1)</f>
        <v>0</v>
      </c>
      <c r="N269" s="17" t="n">
        <f aca="false">K269/D269*10000</f>
        <v>3.33139002248688</v>
      </c>
      <c r="O269" s="7" t="n">
        <f aca="false">IF(K269=0,"none",D269/K269)</f>
        <v>3001.75</v>
      </c>
      <c r="P269" s="7" t="n">
        <f aca="false">IF(K269=0,"none",E269/K269)</f>
        <v>1105.75</v>
      </c>
      <c r="Q269" s="16" t="n">
        <v>0.168</v>
      </c>
      <c r="R269" s="16" t="n">
        <v>0.465</v>
      </c>
      <c r="S269" s="16" t="n">
        <v>0.062</v>
      </c>
      <c r="T269" s="6" t="n">
        <v>0</v>
      </c>
    </row>
    <row r="270" customFormat="false" ht="15" hidden="false" customHeight="false" outlineLevel="0" collapsed="false">
      <c r="A270" s="15" t="s">
        <v>650</v>
      </c>
      <c r="B270" s="15" t="s">
        <v>651</v>
      </c>
      <c r="C270" s="15" t="s">
        <v>77</v>
      </c>
      <c r="D270" s="6" t="n">
        <v>3668</v>
      </c>
      <c r="E270" s="6" t="n">
        <v>790</v>
      </c>
      <c r="F270" s="16" t="n">
        <v>0.215</v>
      </c>
      <c r="G270" s="16" t="n">
        <v>0.081</v>
      </c>
      <c r="H270" s="16" t="n">
        <v>0.395</v>
      </c>
      <c r="I270" s="16" t="n">
        <v>0.105</v>
      </c>
      <c r="J270" s="6" t="n">
        <v>2</v>
      </c>
      <c r="K270" s="6" t="n">
        <v>2</v>
      </c>
      <c r="L270" s="7" t="n">
        <f aca="false">K270-J270</f>
        <v>0</v>
      </c>
      <c r="M270" s="10" t="n">
        <f aca="false">IF(J270=0,"",K270/J270-1)</f>
        <v>0</v>
      </c>
      <c r="N270" s="17" t="n">
        <f aca="false">K270/D270*10000</f>
        <v>5.4525627044711</v>
      </c>
      <c r="O270" s="7" t="n">
        <f aca="false">IF(K270=0,"none",D270/K270)</f>
        <v>1834</v>
      </c>
      <c r="P270" s="7" t="n">
        <f aca="false">IF(K270=0,"none",E270/K270)</f>
        <v>395</v>
      </c>
      <c r="Q270" s="16" t="n">
        <v>0.149</v>
      </c>
      <c r="R270" s="16" t="n">
        <v>0.4</v>
      </c>
      <c r="S270" s="16" t="n">
        <v>0.103</v>
      </c>
      <c r="T270" s="6" t="n">
        <v>0</v>
      </c>
    </row>
    <row r="271" customFormat="false" ht="15" hidden="false" customHeight="false" outlineLevel="0" collapsed="false">
      <c r="A271" s="15" t="s">
        <v>652</v>
      </c>
      <c r="B271" s="15" t="s">
        <v>653</v>
      </c>
      <c r="C271" s="15" t="s">
        <v>77</v>
      </c>
      <c r="D271" s="6" t="n">
        <v>15638</v>
      </c>
      <c r="E271" s="6" t="n">
        <v>2857</v>
      </c>
      <c r="F271" s="16" t="n">
        <v>0.183</v>
      </c>
      <c r="G271" s="16" t="n">
        <v>0.072</v>
      </c>
      <c r="H271" s="16" t="n">
        <v>0.295</v>
      </c>
      <c r="I271" s="16" t="n">
        <v>0.135</v>
      </c>
      <c r="J271" s="6" t="n">
        <v>2</v>
      </c>
      <c r="K271" s="6" t="n">
        <v>2</v>
      </c>
      <c r="L271" s="7" t="n">
        <f aca="false">K271-J271</f>
        <v>0</v>
      </c>
      <c r="M271" s="10" t="n">
        <f aca="false">IF(J271=0,"",K271/J271-1)</f>
        <v>0</v>
      </c>
      <c r="N271" s="17" t="n">
        <f aca="false">K271/D271*10000</f>
        <v>1.27893592531014</v>
      </c>
      <c r="O271" s="7" t="n">
        <f aca="false">IF(K271=0,"none",D271/K271)</f>
        <v>7819</v>
      </c>
      <c r="P271" s="7" t="n">
        <f aca="false">IF(K271=0,"none",E271/K271)</f>
        <v>1428.5</v>
      </c>
      <c r="Q271" s="16" t="n">
        <v>0.167</v>
      </c>
      <c r="R271" s="16" t="n">
        <v>0.432</v>
      </c>
      <c r="S271" s="16" t="n">
        <v>0.112</v>
      </c>
      <c r="T271" s="6" t="n">
        <v>0</v>
      </c>
    </row>
    <row r="272" customFormat="false" ht="15" hidden="false" customHeight="false" outlineLevel="0" collapsed="false">
      <c r="A272" s="15" t="s">
        <v>654</v>
      </c>
      <c r="B272" s="15" t="s">
        <v>326</v>
      </c>
      <c r="C272" s="15" t="s">
        <v>77</v>
      </c>
      <c r="D272" s="6" t="n">
        <v>36593</v>
      </c>
      <c r="E272" s="6" t="n">
        <v>7284</v>
      </c>
      <c r="F272" s="16" t="n">
        <v>0.199</v>
      </c>
      <c r="G272" s="16" t="n">
        <v>0.039</v>
      </c>
      <c r="H272" s="16" t="n">
        <v>0.175</v>
      </c>
      <c r="I272" s="16" t="n">
        <v>0.062</v>
      </c>
      <c r="J272" s="6" t="n">
        <v>6</v>
      </c>
      <c r="K272" s="6" t="n">
        <v>6</v>
      </c>
      <c r="L272" s="7" t="n">
        <f aca="false">K272-J272</f>
        <v>0</v>
      </c>
      <c r="M272" s="10" t="n">
        <f aca="false">IF(J272=0,"",K272/J272-1)</f>
        <v>0</v>
      </c>
      <c r="N272" s="17" t="n">
        <f aca="false">K272/D272*10000</f>
        <v>1.63965785806028</v>
      </c>
      <c r="O272" s="7" t="n">
        <f aca="false">IF(K272=0,"none",D272/K272)</f>
        <v>6098.83333333333</v>
      </c>
      <c r="P272" s="7" t="n">
        <f aca="false">IF(K272=0,"none",E272/K272)</f>
        <v>1214</v>
      </c>
      <c r="Q272" s="16" t="n">
        <v>0.129</v>
      </c>
      <c r="R272" s="16" t="n">
        <v>0.384</v>
      </c>
      <c r="S272" s="16" t="n">
        <v>0.069</v>
      </c>
      <c r="T272" s="6" t="n">
        <v>0</v>
      </c>
    </row>
    <row r="273" customFormat="false" ht="15" hidden="false" customHeight="false" outlineLevel="0" collapsed="false">
      <c r="A273" s="15" t="s">
        <v>655</v>
      </c>
      <c r="B273" s="15" t="s">
        <v>656</v>
      </c>
      <c r="C273" s="15" t="s">
        <v>77</v>
      </c>
      <c r="D273" s="6" t="n">
        <v>23753</v>
      </c>
      <c r="E273" s="6" t="n">
        <v>5063</v>
      </c>
      <c r="F273" s="16" t="n">
        <v>0.213</v>
      </c>
      <c r="G273" s="16" t="n">
        <v>0.07</v>
      </c>
      <c r="H273" s="16" t="n">
        <v>0.18</v>
      </c>
      <c r="I273" s="16" t="n">
        <v>0.108</v>
      </c>
      <c r="J273" s="6" t="n">
        <v>2</v>
      </c>
      <c r="K273" s="6" t="n">
        <v>2</v>
      </c>
      <c r="L273" s="7" t="n">
        <f aca="false">K273-J273</f>
        <v>0</v>
      </c>
      <c r="M273" s="10" t="n">
        <f aca="false">IF(J273=0,"",K273/J273-1)</f>
        <v>0</v>
      </c>
      <c r="N273" s="17" t="n">
        <f aca="false">K273/D273*10000</f>
        <v>0.841998905401423</v>
      </c>
      <c r="O273" s="7" t="n">
        <f aca="false">IF(K273=0,"none",D273/K273)</f>
        <v>11876.5</v>
      </c>
      <c r="P273" s="7" t="n">
        <f aca="false">IF(K273=0,"none",E273/K273)</f>
        <v>2531.5</v>
      </c>
      <c r="Q273" s="16" t="n">
        <v>0.141</v>
      </c>
      <c r="R273" s="16" t="n">
        <v>0.4</v>
      </c>
      <c r="S273" s="16" t="n">
        <v>0.073</v>
      </c>
      <c r="T273" s="6" t="n">
        <v>0</v>
      </c>
    </row>
    <row r="274" customFormat="false" ht="15" hidden="false" customHeight="false" outlineLevel="0" collapsed="false">
      <c r="A274" s="15" t="s">
        <v>657</v>
      </c>
      <c r="B274" s="15" t="s">
        <v>658</v>
      </c>
      <c r="C274" s="15" t="s">
        <v>77</v>
      </c>
      <c r="D274" s="6" t="n">
        <v>17660</v>
      </c>
      <c r="E274" s="6" t="n">
        <v>4759</v>
      </c>
      <c r="F274" s="16" t="n">
        <v>0.269</v>
      </c>
      <c r="G274" s="16" t="n">
        <v>0.042</v>
      </c>
      <c r="H274" s="16" t="n">
        <v>0.229</v>
      </c>
      <c r="I274" s="16" t="n">
        <v>0.062</v>
      </c>
      <c r="J274" s="6" t="n">
        <v>5</v>
      </c>
      <c r="K274" s="6" t="n">
        <v>3</v>
      </c>
      <c r="L274" s="7" t="n">
        <f aca="false">K274-J274</f>
        <v>-2</v>
      </c>
      <c r="M274" s="10" t="n">
        <f aca="false">IF(J274=0,"",K274/J274-1)</f>
        <v>-0.4</v>
      </c>
      <c r="N274" s="17" t="n">
        <f aca="false">K274/D274*10000</f>
        <v>1.69875424688562</v>
      </c>
      <c r="O274" s="7" t="n">
        <f aca="false">IF(K274=0,"none",D274/K274)</f>
        <v>5886.66666666667</v>
      </c>
      <c r="P274" s="7" t="n">
        <f aca="false">IF(K274=0,"none",E274/K274)</f>
        <v>1586.33333333333</v>
      </c>
      <c r="Q274" s="16" t="n">
        <v>0.164</v>
      </c>
      <c r="R274" s="16" t="n">
        <v>0.434</v>
      </c>
      <c r="S274" s="16" t="n">
        <v>0.078</v>
      </c>
      <c r="T274" s="6" t="n">
        <v>0</v>
      </c>
    </row>
    <row r="275" customFormat="false" ht="15" hidden="false" customHeight="false" outlineLevel="0" collapsed="false">
      <c r="A275" s="15" t="s">
        <v>659</v>
      </c>
      <c r="B275" s="15" t="s">
        <v>660</v>
      </c>
      <c r="C275" s="15" t="s">
        <v>77</v>
      </c>
      <c r="D275" s="6" t="n">
        <v>33261</v>
      </c>
      <c r="E275" s="6" t="n">
        <v>5627</v>
      </c>
      <c r="F275" s="16" t="n">
        <v>0.169</v>
      </c>
      <c r="G275" s="16" t="n">
        <v>0.165</v>
      </c>
      <c r="H275" s="16" t="n">
        <v>0.347</v>
      </c>
      <c r="I275" s="16" t="n">
        <v>0.107</v>
      </c>
      <c r="J275" s="6" t="n">
        <v>8</v>
      </c>
      <c r="K275" s="6" t="n">
        <v>8</v>
      </c>
      <c r="L275" s="7" t="n">
        <f aca="false">K275-J275</f>
        <v>0</v>
      </c>
      <c r="M275" s="10" t="n">
        <f aca="false">IF(J275=0,"",K275/J275-1)</f>
        <v>0</v>
      </c>
      <c r="N275" s="17" t="n">
        <f aca="false">K275/D275*10000</f>
        <v>2.40521932593728</v>
      </c>
      <c r="O275" s="7" t="n">
        <f aca="false">IF(K275=0,"none",D275/K275)</f>
        <v>4157.625</v>
      </c>
      <c r="P275" s="7" t="n">
        <f aca="false">IF(K275=0,"none",E275/K275)</f>
        <v>703.375</v>
      </c>
      <c r="Q275" s="16" t="n">
        <v>0.192</v>
      </c>
      <c r="R275" s="16" t="n">
        <v>0.464</v>
      </c>
      <c r="S275" s="16" t="n">
        <v>0.148</v>
      </c>
      <c r="T275" s="6" t="n">
        <v>0</v>
      </c>
    </row>
    <row r="276" customFormat="false" ht="15" hidden="false" customHeight="false" outlineLevel="0" collapsed="false">
      <c r="A276" s="15" t="s">
        <v>661</v>
      </c>
      <c r="B276" s="15" t="s">
        <v>662</v>
      </c>
      <c r="C276" s="15" t="s">
        <v>77</v>
      </c>
      <c r="D276" s="6" t="n">
        <v>60541</v>
      </c>
      <c r="E276" s="6" t="n">
        <v>14247</v>
      </c>
      <c r="F276" s="16" t="n">
        <v>0.235</v>
      </c>
      <c r="G276" s="16" t="n">
        <v>0.052</v>
      </c>
      <c r="H276" s="16" t="n">
        <v>0.274</v>
      </c>
      <c r="I276" s="16" t="n">
        <v>0.067</v>
      </c>
      <c r="J276" s="6" t="n">
        <v>4</v>
      </c>
      <c r="K276" s="6" t="n">
        <v>4</v>
      </c>
      <c r="L276" s="7" t="n">
        <f aca="false">K276-J276</f>
        <v>0</v>
      </c>
      <c r="M276" s="10" t="n">
        <f aca="false">IF(J276=0,"",K276/J276-1)</f>
        <v>0</v>
      </c>
      <c r="N276" s="17" t="n">
        <f aca="false">K276/D276*10000</f>
        <v>0.660709271402851</v>
      </c>
      <c r="O276" s="7" t="n">
        <f aca="false">IF(K276=0,"none",D276/K276)</f>
        <v>15135.25</v>
      </c>
      <c r="P276" s="7" t="n">
        <f aca="false">IF(K276=0,"none",E276/K276)</f>
        <v>3561.75</v>
      </c>
      <c r="Q276" s="16" t="n">
        <v>0.175</v>
      </c>
      <c r="R276" s="16" t="n">
        <v>0.459</v>
      </c>
      <c r="S276" s="16" t="n">
        <v>0.094</v>
      </c>
      <c r="T276" s="6" t="n">
        <v>0</v>
      </c>
    </row>
    <row r="277" customFormat="false" ht="15" hidden="false" customHeight="false" outlineLevel="0" collapsed="false">
      <c r="A277" s="15" t="s">
        <v>663</v>
      </c>
      <c r="B277" s="15" t="s">
        <v>664</v>
      </c>
      <c r="C277" s="15" t="s">
        <v>77</v>
      </c>
      <c r="D277" s="6" t="n">
        <v>12479</v>
      </c>
      <c r="E277" s="6" t="n">
        <v>2454</v>
      </c>
      <c r="F277" s="16" t="n">
        <v>0.197</v>
      </c>
      <c r="G277" s="16" t="n">
        <v>0.017</v>
      </c>
      <c r="H277" s="16" t="n">
        <v>0.085</v>
      </c>
      <c r="I277" s="16" t="n">
        <v>0.023</v>
      </c>
      <c r="J277" s="6" t="n">
        <v>3</v>
      </c>
      <c r="K277" s="6" t="n">
        <v>2</v>
      </c>
      <c r="L277" s="7" t="n">
        <f aca="false">K277-J277</f>
        <v>-1</v>
      </c>
      <c r="M277" s="10" t="n">
        <f aca="false">IF(J277=0,"",K277/J277-1)</f>
        <v>-0.333333333333333</v>
      </c>
      <c r="N277" s="17" t="n">
        <f aca="false">K277/D277*10000</f>
        <v>1.60269252343938</v>
      </c>
      <c r="O277" s="7" t="n">
        <f aca="false">IF(K277=0,"none",D277/K277)</f>
        <v>6239.5</v>
      </c>
      <c r="P277" s="7" t="n">
        <f aca="false">IF(K277=0,"none",E277/K277)</f>
        <v>1227</v>
      </c>
      <c r="Q277" s="16" t="n">
        <v>0.11</v>
      </c>
      <c r="R277" s="16" t="n">
        <v>0.348</v>
      </c>
      <c r="S277" s="16" t="n">
        <v>0.051</v>
      </c>
      <c r="T277" s="6" t="n">
        <v>0</v>
      </c>
    </row>
    <row r="278" customFormat="false" ht="15" hidden="false" customHeight="false" outlineLevel="0" collapsed="false">
      <c r="A278" s="15" t="s">
        <v>665</v>
      </c>
      <c r="B278" s="15" t="s">
        <v>666</v>
      </c>
      <c r="C278" s="15" t="s">
        <v>77</v>
      </c>
      <c r="D278" s="6" t="n">
        <v>97384</v>
      </c>
      <c r="E278" s="6" t="n">
        <v>14703</v>
      </c>
      <c r="F278" s="16" t="n">
        <v>0.151</v>
      </c>
      <c r="G278" s="16" t="n">
        <v>0.114</v>
      </c>
      <c r="H278" s="16" t="n">
        <v>0.273</v>
      </c>
      <c r="I278" s="16" t="n">
        <v>0.077</v>
      </c>
      <c r="J278" s="6" t="n">
        <v>17</v>
      </c>
      <c r="K278" s="6" t="n">
        <v>15</v>
      </c>
      <c r="L278" s="7" t="n">
        <f aca="false">K278-J278</f>
        <v>-2</v>
      </c>
      <c r="M278" s="10" t="n">
        <f aca="false">IF(J278=0,"",K278/J278-1)</f>
        <v>-0.117647058823529</v>
      </c>
      <c r="N278" s="17" t="n">
        <f aca="false">K278/D278*10000</f>
        <v>1.54029409348558</v>
      </c>
      <c r="O278" s="7" t="n">
        <f aca="false">IF(K278=0,"none",D278/K278)</f>
        <v>6492.26666666667</v>
      </c>
      <c r="P278" s="7" t="n">
        <f aca="false">IF(K278=0,"none",E278/K278)</f>
        <v>980.2</v>
      </c>
      <c r="Q278" s="16" t="n">
        <v>0.158</v>
      </c>
      <c r="R278" s="16" t="n">
        <v>0.405</v>
      </c>
      <c r="S278" s="16" t="n">
        <v>0.121</v>
      </c>
      <c r="T278" s="6" t="n">
        <v>0</v>
      </c>
    </row>
    <row r="279" customFormat="false" ht="15" hidden="false" customHeight="false" outlineLevel="0" collapsed="false">
      <c r="A279" s="15" t="s">
        <v>667</v>
      </c>
      <c r="B279" s="15" t="s">
        <v>668</v>
      </c>
      <c r="C279" s="15" t="s">
        <v>77</v>
      </c>
      <c r="D279" s="6" t="n">
        <v>30503</v>
      </c>
      <c r="E279" s="6" t="n">
        <v>5875</v>
      </c>
      <c r="F279" s="16" t="n">
        <v>0.193</v>
      </c>
      <c r="G279" s="16" t="n">
        <v>0.016</v>
      </c>
      <c r="H279" s="16" t="n">
        <v>0.085</v>
      </c>
      <c r="I279" s="16" t="n">
        <v>0.038</v>
      </c>
      <c r="J279" s="6" t="n">
        <v>3</v>
      </c>
      <c r="K279" s="6" t="n">
        <v>4</v>
      </c>
      <c r="L279" s="7" t="n">
        <f aca="false">K279-J279</f>
        <v>1</v>
      </c>
      <c r="M279" s="10" t="n">
        <f aca="false">IF(J279=0,"",K279/J279-1)</f>
        <v>0.333333333333333</v>
      </c>
      <c r="N279" s="17" t="n">
        <f aca="false">K279/D279*10000</f>
        <v>1.31134642494181</v>
      </c>
      <c r="O279" s="7" t="n">
        <f aca="false">IF(K279=0,"none",D279/K279)</f>
        <v>7625.75</v>
      </c>
      <c r="P279" s="7" t="n">
        <f aca="false">IF(K279=0,"none",E279/K279)</f>
        <v>1468.75</v>
      </c>
      <c r="Q279" s="16" t="n">
        <v>0.121</v>
      </c>
      <c r="R279" s="16" t="n">
        <v>0.376</v>
      </c>
      <c r="S279" s="16" t="n">
        <v>0.057</v>
      </c>
      <c r="T279" s="6" t="n">
        <v>0</v>
      </c>
    </row>
    <row r="280" customFormat="false" ht="15" hidden="false" customHeight="false" outlineLevel="0" collapsed="false">
      <c r="A280" s="15" t="s">
        <v>669</v>
      </c>
      <c r="B280" s="15" t="s">
        <v>670</v>
      </c>
      <c r="C280" s="15" t="s">
        <v>77</v>
      </c>
      <c r="D280" s="6" t="n">
        <v>21922</v>
      </c>
      <c r="E280" s="6" t="n">
        <v>3585</v>
      </c>
      <c r="F280" s="16" t="n">
        <v>0.164</v>
      </c>
      <c r="G280" s="16" t="n">
        <v>0.084</v>
      </c>
      <c r="H280" s="16" t="n">
        <v>0.265</v>
      </c>
      <c r="I280" s="16" t="n">
        <v>0.069</v>
      </c>
      <c r="J280" s="6" t="n">
        <v>6</v>
      </c>
      <c r="K280" s="6" t="n">
        <v>6</v>
      </c>
      <c r="L280" s="7" t="n">
        <f aca="false">K280-J280</f>
        <v>0</v>
      </c>
      <c r="M280" s="10" t="n">
        <f aca="false">IF(J280=0,"",K280/J280-1)</f>
        <v>0</v>
      </c>
      <c r="N280" s="17" t="n">
        <f aca="false">K280/D280*10000</f>
        <v>2.73697655323419</v>
      </c>
      <c r="O280" s="7" t="n">
        <f aca="false">IF(K280=0,"none",D280/K280)</f>
        <v>3653.66666666667</v>
      </c>
      <c r="P280" s="7" t="n">
        <f aca="false">IF(K280=0,"none",E280/K280)</f>
        <v>597.5</v>
      </c>
      <c r="Q280" s="16" t="n">
        <v>0.135</v>
      </c>
      <c r="R280" s="16" t="n">
        <v>0.358</v>
      </c>
      <c r="S280" s="16" t="n">
        <v>0.113</v>
      </c>
      <c r="T280" s="6" t="n">
        <v>0</v>
      </c>
    </row>
    <row r="281" customFormat="false" ht="15" hidden="false" customHeight="false" outlineLevel="0" collapsed="false">
      <c r="A281" s="15" t="s">
        <v>671</v>
      </c>
      <c r="B281" s="15" t="s">
        <v>672</v>
      </c>
      <c r="C281" s="15" t="s">
        <v>77</v>
      </c>
      <c r="D281" s="6" t="n">
        <v>42634</v>
      </c>
      <c r="E281" s="6" t="n">
        <v>5489</v>
      </c>
      <c r="F281" s="16" t="n">
        <v>0.129</v>
      </c>
      <c r="G281" s="16" t="n">
        <v>0.03</v>
      </c>
      <c r="H281" s="16" t="n">
        <v>0.184</v>
      </c>
      <c r="I281" s="16" t="n">
        <v>0.04</v>
      </c>
      <c r="J281" s="6" t="n">
        <v>0</v>
      </c>
      <c r="K281" s="6" t="n">
        <v>0</v>
      </c>
      <c r="L281" s="7" t="n">
        <f aca="false">K281-J281</f>
        <v>0</v>
      </c>
      <c r="M281" s="10" t="str">
        <f aca="false">IF(J281=0,"",K281/J281-1)</f>
        <v/>
      </c>
      <c r="N281" s="17" t="n">
        <f aca="false">K281/D281*10000</f>
        <v>0</v>
      </c>
      <c r="O281" s="7" t="str">
        <f aca="false">IF(K281=0,"none",D281/K281)</f>
        <v>none</v>
      </c>
      <c r="P281" s="7" t="str">
        <f aca="false">IF(K281=0,"none",E281/K281)</f>
        <v>none</v>
      </c>
      <c r="Q281" s="16" t="n">
        <v>0.115</v>
      </c>
      <c r="R281" s="16" t="n">
        <v>0.34</v>
      </c>
      <c r="S281" s="16" t="n">
        <v>0.096</v>
      </c>
      <c r="T281" s="6" t="n">
        <v>0</v>
      </c>
    </row>
    <row r="282" customFormat="false" ht="15" hidden="false" customHeight="false" outlineLevel="0" collapsed="false">
      <c r="A282" s="15" t="s">
        <v>673</v>
      </c>
      <c r="B282" s="15" t="s">
        <v>674</v>
      </c>
      <c r="C282" s="15" t="s">
        <v>77</v>
      </c>
      <c r="D282" s="6" t="n">
        <v>481114</v>
      </c>
      <c r="E282" s="6" t="n">
        <v>50434</v>
      </c>
      <c r="F282" s="16" t="n">
        <v>0.105</v>
      </c>
      <c r="G282" s="16" t="n">
        <v>0.023</v>
      </c>
      <c r="H282" s="16" t="n">
        <v>0.111</v>
      </c>
      <c r="I282" s="16" t="n">
        <v>0.104</v>
      </c>
      <c r="J282" s="6" t="n">
        <v>55</v>
      </c>
      <c r="K282" s="6" t="n">
        <v>59</v>
      </c>
      <c r="L282" s="7" t="n">
        <f aca="false">K282-J282</f>
        <v>4</v>
      </c>
      <c r="M282" s="10" t="n">
        <f aca="false">IF(J282=0,"",K282/J282-1)</f>
        <v>0.0727272727272728</v>
      </c>
      <c r="N282" s="17" t="n">
        <f aca="false">K282/D282*10000</f>
        <v>1.22632058098496</v>
      </c>
      <c r="O282" s="7" t="n">
        <f aca="false">IF(K282=0,"none",D282/K282)</f>
        <v>8154.47457627119</v>
      </c>
      <c r="P282" s="7" t="n">
        <f aca="false">IF(K282=0,"none",E282/K282)</f>
        <v>854.813559322034</v>
      </c>
      <c r="Q282" s="16" t="n">
        <v>0.114</v>
      </c>
      <c r="R282" s="16" t="n">
        <v>0.328</v>
      </c>
      <c r="S282" s="16" t="n">
        <v>0.073</v>
      </c>
      <c r="T282" s="6" t="n">
        <v>0</v>
      </c>
    </row>
    <row r="283" customFormat="false" ht="15" hidden="false" customHeight="false" outlineLevel="0" collapsed="false">
      <c r="A283" s="15" t="s">
        <v>675</v>
      </c>
      <c r="B283" s="15" t="s">
        <v>676</v>
      </c>
      <c r="C283" s="15" t="s">
        <v>77</v>
      </c>
      <c r="D283" s="6" t="n">
        <v>33841</v>
      </c>
      <c r="E283" s="6" t="n">
        <v>7631</v>
      </c>
      <c r="F283" s="16" t="n">
        <v>0.225</v>
      </c>
      <c r="G283" s="16" t="n">
        <v>0.047</v>
      </c>
      <c r="H283" s="16" t="n">
        <v>0.203</v>
      </c>
      <c r="I283" s="16" t="n">
        <v>0.053</v>
      </c>
      <c r="J283" s="6" t="n">
        <v>11</v>
      </c>
      <c r="K283" s="6" t="n">
        <v>8</v>
      </c>
      <c r="L283" s="7" t="n">
        <f aca="false">K283-J283</f>
        <v>-3</v>
      </c>
      <c r="M283" s="10" t="n">
        <f aca="false">IF(J283=0,"",K283/J283-1)</f>
        <v>-0.272727272727273</v>
      </c>
      <c r="N283" s="17" t="n">
        <f aca="false">K283/D283*10000</f>
        <v>2.36399633580568</v>
      </c>
      <c r="O283" s="7" t="n">
        <f aca="false">IF(K283=0,"none",D283/K283)</f>
        <v>4230.125</v>
      </c>
      <c r="P283" s="7" t="n">
        <f aca="false">IF(K283=0,"none",E283/K283)</f>
        <v>953.875</v>
      </c>
      <c r="Q283" s="16" t="n">
        <v>0.141</v>
      </c>
      <c r="R283" s="16" t="n">
        <v>0.393</v>
      </c>
      <c r="S283" s="16" t="n">
        <v>0.072</v>
      </c>
      <c r="T283" s="6" t="n">
        <v>0</v>
      </c>
    </row>
    <row r="284" customFormat="false" ht="15" hidden="false" customHeight="false" outlineLevel="0" collapsed="false">
      <c r="A284" s="15" t="s">
        <v>677</v>
      </c>
      <c r="B284" s="15" t="s">
        <v>678</v>
      </c>
      <c r="C284" s="15" t="s">
        <v>77</v>
      </c>
      <c r="D284" s="6" t="n">
        <v>16379</v>
      </c>
      <c r="E284" s="6" t="n">
        <v>1528</v>
      </c>
      <c r="F284" s="16" t="n">
        <v>0.093</v>
      </c>
      <c r="G284" s="16" t="n">
        <v>0.046</v>
      </c>
      <c r="H284" s="16" t="n">
        <v>0.423</v>
      </c>
      <c r="I284" s="16" t="n">
        <v>0.055</v>
      </c>
      <c r="J284" s="6" t="n">
        <v>4</v>
      </c>
      <c r="K284" s="6" t="n">
        <v>4</v>
      </c>
      <c r="L284" s="7" t="n">
        <f aca="false">K284-J284</f>
        <v>0</v>
      </c>
      <c r="M284" s="10" t="n">
        <f aca="false">IF(J284=0,"",K284/J284-1)</f>
        <v>0</v>
      </c>
      <c r="N284" s="17" t="n">
        <f aca="false">K284/D284*10000</f>
        <v>2.44215153550278</v>
      </c>
      <c r="O284" s="7" t="n">
        <f aca="false">IF(K284=0,"none",D284/K284)</f>
        <v>4094.75</v>
      </c>
      <c r="P284" s="7" t="n">
        <f aca="false">IF(K284=0,"none",E284/K284)</f>
        <v>382</v>
      </c>
      <c r="Q284" s="16" t="n">
        <v>0.092</v>
      </c>
      <c r="R284" s="16" t="n">
        <v>0.275</v>
      </c>
      <c r="S284" s="16" t="n">
        <v>0.119</v>
      </c>
      <c r="T284" s="6" t="n">
        <v>0</v>
      </c>
    </row>
    <row r="285" customFormat="false" ht="15" hidden="false" customHeight="false" outlineLevel="0" collapsed="false">
      <c r="A285" s="15" t="s">
        <v>679</v>
      </c>
      <c r="B285" s="15" t="s">
        <v>680</v>
      </c>
      <c r="C285" s="15" t="s">
        <v>77</v>
      </c>
      <c r="D285" s="6" t="n">
        <v>7422</v>
      </c>
      <c r="E285" s="6" t="n">
        <v>1968</v>
      </c>
      <c r="F285" s="16" t="n">
        <v>0.265</v>
      </c>
      <c r="G285" s="16" t="n">
        <v>0.016</v>
      </c>
      <c r="H285" s="16" t="n">
        <v>0.165</v>
      </c>
      <c r="I285" s="16" t="n">
        <v>0.111</v>
      </c>
      <c r="J285" s="6" t="n">
        <v>0</v>
      </c>
      <c r="K285" s="6" t="n">
        <v>0</v>
      </c>
      <c r="L285" s="7" t="n">
        <f aca="false">K285-J285</f>
        <v>0</v>
      </c>
      <c r="M285" s="10" t="str">
        <f aca="false">IF(J285=0,"",K285/J285-1)</f>
        <v/>
      </c>
      <c r="N285" s="17" t="n">
        <f aca="false">K285/D285*10000</f>
        <v>0</v>
      </c>
      <c r="O285" s="7" t="str">
        <f aca="false">IF(K285=0,"none",D285/K285)</f>
        <v>none</v>
      </c>
      <c r="P285" s="7" t="str">
        <f aca="false">IF(K285=0,"none",E285/K285)</f>
        <v>none</v>
      </c>
      <c r="Q285" s="16" t="n">
        <v>0.147</v>
      </c>
      <c r="R285" s="16" t="n">
        <v>0.42</v>
      </c>
      <c r="S285" s="16" t="n">
        <v>0.061</v>
      </c>
      <c r="T285" s="6" t="n">
        <v>0</v>
      </c>
    </row>
    <row r="286" customFormat="false" ht="15" hidden="false" customHeight="false" outlineLevel="0" collapsed="false">
      <c r="A286" s="15" t="s">
        <v>681</v>
      </c>
      <c r="B286" s="15" t="s">
        <v>340</v>
      </c>
      <c r="C286" s="15" t="s">
        <v>77</v>
      </c>
      <c r="D286" s="6" t="n">
        <v>8968</v>
      </c>
      <c r="E286" s="6" t="n">
        <v>1796</v>
      </c>
      <c r="F286" s="16" t="n">
        <v>0.2</v>
      </c>
      <c r="G286" s="16" t="n">
        <v>0.063</v>
      </c>
      <c r="H286" s="16" t="n">
        <v>0.224</v>
      </c>
      <c r="I286" s="16" t="n">
        <v>0.062</v>
      </c>
      <c r="J286" s="6" t="n">
        <v>2</v>
      </c>
      <c r="K286" s="6" t="n">
        <v>2</v>
      </c>
      <c r="L286" s="7" t="n">
        <f aca="false">K286-J286</f>
        <v>0</v>
      </c>
      <c r="M286" s="10" t="n">
        <f aca="false">IF(J286=0,"",K286/J286-1)</f>
        <v>0</v>
      </c>
      <c r="N286" s="17" t="n">
        <f aca="false">K286/D286*10000</f>
        <v>2.23015165031222</v>
      </c>
      <c r="O286" s="7" t="n">
        <f aca="false">IF(K286=0,"none",D286/K286)</f>
        <v>4484</v>
      </c>
      <c r="P286" s="7" t="n">
        <f aca="false">IF(K286=0,"none",E286/K286)</f>
        <v>898</v>
      </c>
      <c r="Q286" s="16" t="n">
        <v>0.151</v>
      </c>
      <c r="R286" s="16" t="n">
        <v>0.425</v>
      </c>
      <c r="S286" s="16" t="n">
        <v>0.097</v>
      </c>
      <c r="T286" s="6" t="n">
        <v>0</v>
      </c>
    </row>
    <row r="287" customFormat="false" ht="15" hidden="false" customHeight="false" outlineLevel="0" collapsed="false">
      <c r="A287" s="15" t="s">
        <v>682</v>
      </c>
      <c r="B287" s="15" t="s">
        <v>340</v>
      </c>
      <c r="C287" s="15" t="s">
        <v>77</v>
      </c>
      <c r="D287" s="6" t="n">
        <v>227171</v>
      </c>
      <c r="E287" s="6" t="n">
        <v>31242</v>
      </c>
      <c r="F287" s="16" t="n">
        <v>0.138</v>
      </c>
      <c r="G287" s="16" t="n">
        <v>0.142</v>
      </c>
      <c r="H287" s="16" t="n">
        <v>0.287</v>
      </c>
      <c r="I287" s="16" t="n">
        <v>0.096</v>
      </c>
      <c r="J287" s="6" t="n">
        <v>38</v>
      </c>
      <c r="K287" s="6" t="n">
        <v>37</v>
      </c>
      <c r="L287" s="7" t="n">
        <f aca="false">K287-J287</f>
        <v>-1</v>
      </c>
      <c r="M287" s="10" t="n">
        <f aca="false">IF(J287=0,"",K287/J287-1)</f>
        <v>-0.0263157894736842</v>
      </c>
      <c r="N287" s="17" t="n">
        <f aca="false">K287/D287*10000</f>
        <v>1.62872901910895</v>
      </c>
      <c r="O287" s="7" t="n">
        <f aca="false">IF(K287=0,"none",D287/K287)</f>
        <v>6139.75675675676</v>
      </c>
      <c r="P287" s="7" t="n">
        <f aca="false">IF(K287=0,"none",E287/K287)</f>
        <v>844.378378378378</v>
      </c>
      <c r="Q287" s="16" t="n">
        <v>0.129</v>
      </c>
      <c r="R287" s="16" t="n">
        <v>0.362</v>
      </c>
      <c r="S287" s="16" t="n">
        <v>0.103</v>
      </c>
      <c r="T287" s="6" t="n">
        <v>0</v>
      </c>
    </row>
    <row r="288" customFormat="false" ht="15" hidden="false" customHeight="false" outlineLevel="0" collapsed="false">
      <c r="A288" s="15" t="s">
        <v>683</v>
      </c>
      <c r="B288" s="15" t="s">
        <v>684</v>
      </c>
      <c r="C288" s="15" t="s">
        <v>77</v>
      </c>
      <c r="D288" s="6" t="n">
        <v>99213</v>
      </c>
      <c r="E288" s="6" t="n">
        <v>17419</v>
      </c>
      <c r="F288" s="16" t="n">
        <v>0.176</v>
      </c>
      <c r="G288" s="16" t="n">
        <v>0.112</v>
      </c>
      <c r="H288" s="16" t="n">
        <v>0.295</v>
      </c>
      <c r="I288" s="16" t="n">
        <v>0.097</v>
      </c>
      <c r="J288" s="6" t="n">
        <v>18</v>
      </c>
      <c r="K288" s="6" t="n">
        <v>16</v>
      </c>
      <c r="L288" s="7" t="n">
        <f aca="false">K288-J288</f>
        <v>-2</v>
      </c>
      <c r="M288" s="10" t="n">
        <f aca="false">IF(J288=0,"",K288/J288-1)</f>
        <v>-0.111111111111111</v>
      </c>
      <c r="N288" s="17" t="n">
        <f aca="false">K288/D288*10000</f>
        <v>1.61269188513602</v>
      </c>
      <c r="O288" s="7" t="n">
        <f aca="false">IF(K288=0,"none",D288/K288)</f>
        <v>6200.8125</v>
      </c>
      <c r="P288" s="7" t="n">
        <f aca="false">IF(K288=0,"none",E288/K288)</f>
        <v>1088.6875</v>
      </c>
      <c r="Q288" s="16" t="n">
        <v>0.151</v>
      </c>
      <c r="R288" s="16" t="n">
        <v>0.396</v>
      </c>
      <c r="S288" s="16" t="n">
        <v>0.102</v>
      </c>
      <c r="T288" s="6" t="n">
        <v>0</v>
      </c>
    </row>
    <row r="289" customFormat="false" ht="15" hidden="false" customHeight="false" outlineLevel="0" collapsed="false">
      <c r="A289" s="15" t="s">
        <v>685</v>
      </c>
      <c r="B289" s="15" t="s">
        <v>684</v>
      </c>
      <c r="C289" s="15" t="s">
        <v>77</v>
      </c>
      <c r="D289" s="6" t="n">
        <v>96653</v>
      </c>
      <c r="E289" s="6" t="n">
        <v>20967</v>
      </c>
      <c r="F289" s="16" t="n">
        <v>0.217</v>
      </c>
      <c r="G289" s="16" t="n">
        <v>0.045</v>
      </c>
      <c r="H289" s="16" t="n">
        <v>0.134</v>
      </c>
      <c r="I289" s="16" t="n">
        <v>0.046</v>
      </c>
      <c r="J289" s="6" t="n">
        <v>16</v>
      </c>
      <c r="K289" s="6" t="n">
        <v>16</v>
      </c>
      <c r="L289" s="7" t="n">
        <f aca="false">K289-J289</f>
        <v>0</v>
      </c>
      <c r="M289" s="10" t="n">
        <f aca="false">IF(J289=0,"",K289/J289-1)</f>
        <v>0</v>
      </c>
      <c r="N289" s="17" t="n">
        <f aca="false">K289/D289*10000</f>
        <v>1.65540645401591</v>
      </c>
      <c r="O289" s="7" t="n">
        <f aca="false">IF(K289=0,"none",D289/K289)</f>
        <v>6040.8125</v>
      </c>
      <c r="P289" s="7" t="n">
        <f aca="false">IF(K289=0,"none",E289/K289)</f>
        <v>1310.4375</v>
      </c>
      <c r="Q289" s="16" t="n">
        <v>0.12</v>
      </c>
      <c r="R289" s="16" t="n">
        <v>0.363</v>
      </c>
      <c r="S289" s="16" t="n">
        <v>0.059</v>
      </c>
      <c r="T289" s="6" t="n">
        <v>0</v>
      </c>
    </row>
    <row r="290" customFormat="false" ht="15" hidden="false" customHeight="false" outlineLevel="0" collapsed="false">
      <c r="A290" s="15" t="s">
        <v>686</v>
      </c>
      <c r="B290" s="15" t="s">
        <v>687</v>
      </c>
      <c r="C290" s="15" t="s">
        <v>77</v>
      </c>
      <c r="D290" s="6" t="n">
        <v>22673</v>
      </c>
      <c r="E290" s="6" t="n">
        <v>6018</v>
      </c>
      <c r="F290" s="16" t="n">
        <v>0.265</v>
      </c>
      <c r="G290" s="16" t="n">
        <v>0.044</v>
      </c>
      <c r="H290" s="16" t="n">
        <v>0.193</v>
      </c>
      <c r="I290" s="16" t="n">
        <v>0.062</v>
      </c>
      <c r="J290" s="6" t="n">
        <v>1</v>
      </c>
      <c r="K290" s="6" t="n">
        <v>0</v>
      </c>
      <c r="L290" s="7" t="n">
        <f aca="false">K290-J290</f>
        <v>-1</v>
      </c>
      <c r="M290" s="10" t="n">
        <f aca="false">IF(J290=0,"",K290/J290-1)</f>
        <v>-1</v>
      </c>
      <c r="N290" s="17" t="n">
        <f aca="false">K290/D290*10000</f>
        <v>0</v>
      </c>
      <c r="O290" s="7" t="str">
        <f aca="false">IF(K290=0,"none",D290/K290)</f>
        <v>none</v>
      </c>
      <c r="P290" s="7" t="str">
        <f aca="false">IF(K290=0,"none",E290/K290)</f>
        <v>none</v>
      </c>
      <c r="Q290" s="16" t="n">
        <v>0.14</v>
      </c>
      <c r="R290" s="16" t="n">
        <v>0.409</v>
      </c>
      <c r="S290" s="16" t="n">
        <v>0.062</v>
      </c>
      <c r="T290" s="6" t="n">
        <v>0</v>
      </c>
    </row>
    <row r="291" customFormat="false" ht="15" hidden="false" customHeight="false" outlineLevel="0" collapsed="false">
      <c r="A291" s="15" t="s">
        <v>688</v>
      </c>
      <c r="B291" s="15" t="s">
        <v>689</v>
      </c>
      <c r="C291" s="15" t="s">
        <v>77</v>
      </c>
      <c r="D291" s="6" t="n">
        <v>83905</v>
      </c>
      <c r="E291" s="6" t="n">
        <v>16440</v>
      </c>
      <c r="F291" s="16" t="n">
        <v>0.196</v>
      </c>
      <c r="G291" s="16" t="n">
        <v>0.045</v>
      </c>
      <c r="H291" s="16" t="n">
        <v>0.159</v>
      </c>
      <c r="I291" s="16" t="n">
        <v>0.088</v>
      </c>
      <c r="J291" s="6" t="n">
        <v>5</v>
      </c>
      <c r="K291" s="6" t="n">
        <v>5</v>
      </c>
      <c r="L291" s="7" t="n">
        <f aca="false">K291-J291</f>
        <v>0</v>
      </c>
      <c r="M291" s="10" t="n">
        <f aca="false">IF(J291=0,"",K291/J291-1)</f>
        <v>0</v>
      </c>
      <c r="N291" s="17" t="n">
        <f aca="false">K291/D291*10000</f>
        <v>0.595912043382397</v>
      </c>
      <c r="O291" s="7" t="n">
        <f aca="false">IF(K291=0,"none",D291/K291)</f>
        <v>16781</v>
      </c>
      <c r="P291" s="7" t="n">
        <f aca="false">IF(K291=0,"none",E291/K291)</f>
        <v>3288</v>
      </c>
      <c r="Q291" s="16" t="n">
        <v>0.123</v>
      </c>
      <c r="R291" s="16" t="n">
        <v>0.366</v>
      </c>
      <c r="S291" s="16" t="n">
        <v>0.069</v>
      </c>
      <c r="T291" s="6" t="n">
        <v>0</v>
      </c>
    </row>
    <row r="292" customFormat="false" ht="15" hidden="false" customHeight="false" outlineLevel="0" collapsed="false">
      <c r="A292" s="15" t="s">
        <v>690</v>
      </c>
      <c r="B292" s="15" t="s">
        <v>691</v>
      </c>
      <c r="C292" s="15" t="s">
        <v>77</v>
      </c>
      <c r="D292" s="6" t="n">
        <v>25763</v>
      </c>
      <c r="E292" s="6" t="n">
        <v>5822</v>
      </c>
      <c r="F292" s="16" t="n">
        <v>0.226</v>
      </c>
      <c r="G292" s="16" t="n">
        <v>0.066</v>
      </c>
      <c r="H292" s="16" t="n">
        <v>0.304</v>
      </c>
      <c r="I292" s="16" t="n">
        <v>0.06</v>
      </c>
      <c r="J292" s="6" t="n">
        <v>7</v>
      </c>
      <c r="K292" s="6" t="n">
        <v>6</v>
      </c>
      <c r="L292" s="7" t="n">
        <f aca="false">K292-J292</f>
        <v>-1</v>
      </c>
      <c r="M292" s="10" t="n">
        <f aca="false">IF(J292=0,"",K292/J292-1)</f>
        <v>-0.142857142857143</v>
      </c>
      <c r="N292" s="17" t="n">
        <f aca="false">K292/D292*10000</f>
        <v>2.3289213212747</v>
      </c>
      <c r="O292" s="7" t="n">
        <f aca="false">IF(K292=0,"none",D292/K292)</f>
        <v>4293.83333333333</v>
      </c>
      <c r="P292" s="7" t="n">
        <f aca="false">IF(K292=0,"none",E292/K292)</f>
        <v>970.333333333333</v>
      </c>
      <c r="Q292" s="16" t="n">
        <v>0.157</v>
      </c>
      <c r="R292" s="16" t="n">
        <v>0.429</v>
      </c>
      <c r="S292" s="16" t="n">
        <v>0.085</v>
      </c>
      <c r="T292" s="6" t="n">
        <v>0</v>
      </c>
    </row>
    <row r="293" customFormat="false" ht="15" hidden="false" customHeight="false" outlineLevel="0" collapsed="false">
      <c r="A293" s="15" t="s">
        <v>692</v>
      </c>
      <c r="B293" s="15" t="s">
        <v>253</v>
      </c>
      <c r="C293" s="15" t="s">
        <v>77</v>
      </c>
      <c r="D293" s="6" t="n">
        <v>25372</v>
      </c>
      <c r="E293" s="6" t="n">
        <v>4902</v>
      </c>
      <c r="F293" s="16" t="n">
        <v>0.193</v>
      </c>
      <c r="G293" s="16" t="n">
        <v>0.058</v>
      </c>
      <c r="H293" s="16" t="n">
        <v>0.186</v>
      </c>
      <c r="I293" s="16" t="n">
        <v>0.061</v>
      </c>
      <c r="J293" s="6" t="n">
        <v>7</v>
      </c>
      <c r="K293" s="6" t="n">
        <v>7</v>
      </c>
      <c r="L293" s="7" t="n">
        <f aca="false">K293-J293</f>
        <v>0</v>
      </c>
      <c r="M293" s="10" t="n">
        <f aca="false">IF(J293=0,"",K293/J293-1)</f>
        <v>0</v>
      </c>
      <c r="N293" s="17" t="n">
        <f aca="false">K293/D293*10000</f>
        <v>2.75894687056598</v>
      </c>
      <c r="O293" s="7" t="n">
        <f aca="false">IF(K293=0,"none",D293/K293)</f>
        <v>3624.57142857143</v>
      </c>
      <c r="P293" s="7" t="n">
        <f aca="false">IF(K293=0,"none",E293/K293)</f>
        <v>700.285714285714</v>
      </c>
      <c r="Q293" s="16" t="n">
        <v>0.12</v>
      </c>
      <c r="R293" s="16" t="n">
        <v>0.354</v>
      </c>
      <c r="S293" s="16" t="n">
        <v>0.069</v>
      </c>
      <c r="T293" s="6" t="n">
        <v>0</v>
      </c>
    </row>
    <row r="294" customFormat="false" ht="15" hidden="false" customHeight="false" outlineLevel="0" collapsed="false">
      <c r="A294" s="15" t="s">
        <v>693</v>
      </c>
      <c r="B294" s="15" t="s">
        <v>694</v>
      </c>
      <c r="C294" s="15" t="s">
        <v>77</v>
      </c>
      <c r="D294" s="6" t="n">
        <v>21536</v>
      </c>
      <c r="E294" s="6" t="n">
        <v>5348</v>
      </c>
      <c r="F294" s="16" t="n">
        <v>0.248</v>
      </c>
      <c r="G294" s="16" t="n">
        <v>0.085</v>
      </c>
      <c r="H294" s="16" t="n">
        <v>0.299</v>
      </c>
      <c r="I294" s="16" t="n">
        <v>0.07</v>
      </c>
      <c r="J294" s="6" t="n">
        <v>5</v>
      </c>
      <c r="K294" s="6" t="n">
        <v>5</v>
      </c>
      <c r="L294" s="7" t="n">
        <f aca="false">K294-J294</f>
        <v>0</v>
      </c>
      <c r="M294" s="10" t="n">
        <f aca="false">IF(J294=0,"",K294/J294-1)</f>
        <v>0</v>
      </c>
      <c r="N294" s="17" t="n">
        <f aca="false">K294/D294*10000</f>
        <v>2.32169390787519</v>
      </c>
      <c r="O294" s="7" t="n">
        <f aca="false">IF(K294=0,"none",D294/K294)</f>
        <v>4307.2</v>
      </c>
      <c r="P294" s="7" t="n">
        <f aca="false">IF(K294=0,"none",E294/K294)</f>
        <v>1069.6</v>
      </c>
      <c r="Q294" s="16" t="n">
        <v>0.164</v>
      </c>
      <c r="R294" s="16" t="n">
        <v>0.436</v>
      </c>
      <c r="S294" s="16" t="n">
        <v>0.084</v>
      </c>
      <c r="T294" s="6" t="n">
        <v>0</v>
      </c>
    </row>
    <row r="295" customFormat="false" ht="15" hidden="false" customHeight="false" outlineLevel="0" collapsed="false">
      <c r="A295" s="15" t="s">
        <v>695</v>
      </c>
      <c r="B295" s="15" t="s">
        <v>696</v>
      </c>
      <c r="C295" s="15" t="s">
        <v>77</v>
      </c>
      <c r="D295" s="6" t="n">
        <v>44337</v>
      </c>
      <c r="E295" s="6" t="n">
        <v>9705</v>
      </c>
      <c r="F295" s="16" t="n">
        <v>0.219</v>
      </c>
      <c r="G295" s="16" t="n">
        <v>0.05</v>
      </c>
      <c r="H295" s="16" t="n">
        <v>0.219</v>
      </c>
      <c r="I295" s="16" t="n">
        <v>0.064</v>
      </c>
      <c r="J295" s="6" t="n">
        <v>8</v>
      </c>
      <c r="K295" s="6" t="n">
        <v>8</v>
      </c>
      <c r="L295" s="7" t="n">
        <f aca="false">K295-J295</f>
        <v>0</v>
      </c>
      <c r="M295" s="10" t="n">
        <f aca="false">IF(J295=0,"",K295/J295-1)</f>
        <v>0</v>
      </c>
      <c r="N295" s="17" t="n">
        <f aca="false">K295/D295*10000</f>
        <v>1.80436204524438</v>
      </c>
      <c r="O295" s="7" t="n">
        <f aca="false">IF(K295=0,"none",D295/K295)</f>
        <v>5542.125</v>
      </c>
      <c r="P295" s="7" t="n">
        <f aca="false">IF(K295=0,"none",E295/K295)</f>
        <v>1213.125</v>
      </c>
      <c r="Q295" s="16" t="n">
        <v>0.141</v>
      </c>
      <c r="R295" s="16" t="n">
        <v>0.387</v>
      </c>
      <c r="S295" s="16" t="n">
        <v>0.077</v>
      </c>
      <c r="T295" s="6" t="n">
        <v>0</v>
      </c>
    </row>
    <row r="296" customFormat="false" ht="15" hidden="false" customHeight="false" outlineLevel="0" collapsed="false">
      <c r="A296" s="15" t="s">
        <v>697</v>
      </c>
      <c r="B296" s="15" t="s">
        <v>698</v>
      </c>
      <c r="C296" s="15" t="s">
        <v>77</v>
      </c>
      <c r="D296" s="6" t="n">
        <v>29799</v>
      </c>
      <c r="E296" s="6" t="n">
        <v>6683</v>
      </c>
      <c r="F296" s="16" t="n">
        <v>0.224</v>
      </c>
      <c r="G296" s="16" t="n">
        <v>0.08</v>
      </c>
      <c r="H296" s="16" t="n">
        <v>0.313</v>
      </c>
      <c r="I296" s="16" t="n">
        <v>0.07</v>
      </c>
      <c r="J296" s="6" t="n">
        <v>11</v>
      </c>
      <c r="K296" s="6" t="n">
        <v>10</v>
      </c>
      <c r="L296" s="7" t="n">
        <f aca="false">K296-J296</f>
        <v>-1</v>
      </c>
      <c r="M296" s="10" t="n">
        <f aca="false">IF(J296=0,"",K296/J296-1)</f>
        <v>-0.0909090909090909</v>
      </c>
      <c r="N296" s="17" t="n">
        <f aca="false">K296/D296*10000</f>
        <v>3.35581730930568</v>
      </c>
      <c r="O296" s="7" t="n">
        <f aca="false">IF(K296=0,"none",D296/K296)</f>
        <v>2979.9</v>
      </c>
      <c r="P296" s="7" t="n">
        <f aca="false">IF(K296=0,"none",E296/K296)</f>
        <v>668.3</v>
      </c>
      <c r="Q296" s="16" t="n">
        <v>0.154</v>
      </c>
      <c r="R296" s="16" t="n">
        <v>0.409</v>
      </c>
      <c r="S296" s="16" t="n">
        <v>0.085</v>
      </c>
      <c r="T296" s="6" t="n">
        <v>0</v>
      </c>
    </row>
    <row r="297" customFormat="false" ht="15" hidden="false" customHeight="false" outlineLevel="0" collapsed="false">
      <c r="A297" s="15" t="s">
        <v>699</v>
      </c>
      <c r="B297" s="15" t="s">
        <v>700</v>
      </c>
      <c r="C297" s="15" t="s">
        <v>77</v>
      </c>
      <c r="D297" s="6" t="n">
        <v>18003</v>
      </c>
      <c r="E297" s="6" t="n">
        <v>3752</v>
      </c>
      <c r="F297" s="16" t="n">
        <v>0.208</v>
      </c>
      <c r="G297" s="16" t="n">
        <v>0.05</v>
      </c>
      <c r="H297" s="16" t="n">
        <v>0.142</v>
      </c>
      <c r="I297" s="16" t="n">
        <v>0.06</v>
      </c>
      <c r="J297" s="6" t="n">
        <v>0</v>
      </c>
      <c r="K297" s="6" t="n">
        <v>0</v>
      </c>
      <c r="L297" s="7" t="n">
        <f aca="false">K297-J297</f>
        <v>0</v>
      </c>
      <c r="M297" s="10" t="str">
        <f aca="false">IF(J297=0,"",K297/J297-1)</f>
        <v/>
      </c>
      <c r="N297" s="17" t="n">
        <f aca="false">K297/D297*10000</f>
        <v>0</v>
      </c>
      <c r="O297" s="7" t="str">
        <f aca="false">IF(K297=0,"none",D297/K297)</f>
        <v>none</v>
      </c>
      <c r="P297" s="7" t="str">
        <f aca="false">IF(K297=0,"none",E297/K297)</f>
        <v>none</v>
      </c>
      <c r="Q297" s="16" t="n">
        <v>0.159</v>
      </c>
      <c r="R297" s="16" t="n">
        <v>0.432</v>
      </c>
      <c r="S297" s="16" t="n">
        <v>0.082</v>
      </c>
      <c r="T297" s="6" t="n">
        <v>0</v>
      </c>
    </row>
    <row r="298" customFormat="false" ht="15" hidden="false" customHeight="false" outlineLevel="0" collapsed="false">
      <c r="A298" s="15" t="s">
        <v>701</v>
      </c>
      <c r="B298" s="15" t="s">
        <v>702</v>
      </c>
      <c r="C298" s="15" t="s">
        <v>77</v>
      </c>
      <c r="D298" s="6" t="n">
        <v>141097</v>
      </c>
      <c r="E298" s="6" t="n">
        <v>20566</v>
      </c>
      <c r="F298" s="16" t="n">
        <v>0.146</v>
      </c>
      <c r="G298" s="16" t="n">
        <v>0.031</v>
      </c>
      <c r="H298" s="16" t="n">
        <v>0.129</v>
      </c>
      <c r="I298" s="16" t="n">
        <v>0.075</v>
      </c>
      <c r="J298" s="6" t="n">
        <v>25</v>
      </c>
      <c r="K298" s="6" t="n">
        <v>21</v>
      </c>
      <c r="L298" s="7" t="n">
        <f aca="false">K298-J298</f>
        <v>-4</v>
      </c>
      <c r="M298" s="10" t="n">
        <f aca="false">IF(J298=0,"",K298/J298-1)</f>
        <v>-0.16</v>
      </c>
      <c r="N298" s="17" t="n">
        <f aca="false">K298/D298*10000</f>
        <v>1.48833781015897</v>
      </c>
      <c r="O298" s="7" t="n">
        <f aca="false">IF(K298=0,"none",D298/K298)</f>
        <v>6718.90476190476</v>
      </c>
      <c r="P298" s="7" t="n">
        <f aca="false">IF(K298=0,"none",E298/K298)</f>
        <v>979.333333333333</v>
      </c>
      <c r="Q298" s="16" t="n">
        <v>0.126</v>
      </c>
      <c r="R298" s="16" t="n">
        <v>0.365</v>
      </c>
      <c r="S298" s="16" t="n">
        <v>0.072</v>
      </c>
      <c r="T298" s="6" t="n">
        <v>0</v>
      </c>
    </row>
    <row r="299" customFormat="false" ht="15" hidden="false" customHeight="false" outlineLevel="0" collapsed="false">
      <c r="A299" s="15" t="s">
        <v>703</v>
      </c>
      <c r="B299" s="15" t="s">
        <v>704</v>
      </c>
      <c r="C299" s="15" t="s">
        <v>77</v>
      </c>
      <c r="D299" s="6" t="n">
        <v>157606</v>
      </c>
      <c r="E299" s="6" t="n">
        <v>17275</v>
      </c>
      <c r="F299" s="16" t="n">
        <v>0.11</v>
      </c>
      <c r="G299" s="16" t="n">
        <v>0.019</v>
      </c>
      <c r="H299" s="16" t="n">
        <v>0.089</v>
      </c>
      <c r="I299" s="16" t="n">
        <v>0.07</v>
      </c>
      <c r="J299" s="6" t="n">
        <v>18</v>
      </c>
      <c r="K299" s="6" t="n">
        <v>17</v>
      </c>
      <c r="L299" s="7" t="n">
        <f aca="false">K299-J299</f>
        <v>-1</v>
      </c>
      <c r="M299" s="10" t="n">
        <f aca="false">IF(J299=0,"",K299/J299-1)</f>
        <v>-0.0555555555555556</v>
      </c>
      <c r="N299" s="17" t="n">
        <f aca="false">K299/D299*10000</f>
        <v>1.07863913810388</v>
      </c>
      <c r="O299" s="7" t="n">
        <f aca="false">IF(K299=0,"none",D299/K299)</f>
        <v>9270.94117647059</v>
      </c>
      <c r="P299" s="7" t="n">
        <f aca="false">IF(K299=0,"none",E299/K299)</f>
        <v>1016.17647058824</v>
      </c>
      <c r="Q299" s="16" t="n">
        <v>0.107</v>
      </c>
      <c r="R299" s="16" t="n">
        <v>0.315</v>
      </c>
      <c r="S299" s="16" t="n">
        <v>0.068</v>
      </c>
      <c r="T299" s="6" t="n">
        <v>0</v>
      </c>
    </row>
    <row r="300" customFormat="false" ht="15" hidden="false" customHeight="false" outlineLevel="0" collapsed="false">
      <c r="A300" s="15" t="s">
        <v>705</v>
      </c>
      <c r="B300" s="15" t="s">
        <v>706</v>
      </c>
      <c r="C300" s="15" t="s">
        <v>77</v>
      </c>
      <c r="D300" s="6" t="n">
        <v>25581</v>
      </c>
      <c r="E300" s="6" t="n">
        <v>5410</v>
      </c>
      <c r="F300" s="16" t="n">
        <v>0.211</v>
      </c>
      <c r="G300" s="16" t="n">
        <v>0.088</v>
      </c>
      <c r="H300" s="16" t="n">
        <v>0.21</v>
      </c>
      <c r="I300" s="16" t="n">
        <v>0.082</v>
      </c>
      <c r="J300" s="6" t="n">
        <v>6</v>
      </c>
      <c r="K300" s="6" t="n">
        <v>6</v>
      </c>
      <c r="L300" s="7" t="n">
        <f aca="false">K300-J300</f>
        <v>0</v>
      </c>
      <c r="M300" s="10" t="n">
        <f aca="false">IF(J300=0,"",K300/J300-1)</f>
        <v>0</v>
      </c>
      <c r="N300" s="17" t="n">
        <f aca="false">K300/D300*10000</f>
        <v>2.34549079394863</v>
      </c>
      <c r="O300" s="7" t="n">
        <f aca="false">IF(K300=0,"none",D300/K300)</f>
        <v>4263.5</v>
      </c>
      <c r="P300" s="7" t="n">
        <f aca="false">IF(K300=0,"none",E300/K300)</f>
        <v>901.666666666667</v>
      </c>
      <c r="Q300" s="16" t="n">
        <v>0.129</v>
      </c>
      <c r="R300" s="16" t="n">
        <v>0.371</v>
      </c>
      <c r="S300" s="16" t="n">
        <v>0.072</v>
      </c>
      <c r="T300" s="6" t="n">
        <v>0</v>
      </c>
    </row>
    <row r="301" customFormat="false" ht="15" hidden="false" customHeight="false" outlineLevel="0" collapsed="false">
      <c r="A301" s="15" t="s">
        <v>707</v>
      </c>
      <c r="B301" s="15" t="s">
        <v>358</v>
      </c>
      <c r="C301" s="15" t="s">
        <v>77</v>
      </c>
      <c r="D301" s="6" t="n">
        <v>94856</v>
      </c>
      <c r="E301" s="6" t="n">
        <v>14013</v>
      </c>
      <c r="F301" s="16" t="n">
        <v>0.148</v>
      </c>
      <c r="G301" s="16" t="n">
        <v>0.06</v>
      </c>
      <c r="H301" s="16" t="n">
        <v>0.158</v>
      </c>
      <c r="I301" s="16" t="n">
        <v>0.061</v>
      </c>
      <c r="J301" s="6" t="n">
        <v>14</v>
      </c>
      <c r="K301" s="6" t="n">
        <v>12</v>
      </c>
      <c r="L301" s="7" t="n">
        <f aca="false">K301-J301</f>
        <v>-2</v>
      </c>
      <c r="M301" s="10" t="n">
        <f aca="false">IF(J301=0,"",K301/J301-1)</f>
        <v>-0.142857142857143</v>
      </c>
      <c r="N301" s="17" t="n">
        <f aca="false">K301/D301*10000</f>
        <v>1.26507548283714</v>
      </c>
      <c r="O301" s="7" t="n">
        <f aca="false">IF(K301=0,"none",D301/K301)</f>
        <v>7904.66666666667</v>
      </c>
      <c r="P301" s="7" t="n">
        <f aca="false">IF(K301=0,"none",E301/K301)</f>
        <v>1167.75</v>
      </c>
      <c r="Q301" s="16" t="n">
        <v>0.137</v>
      </c>
      <c r="R301" s="16" t="n">
        <v>0.392</v>
      </c>
      <c r="S301" s="16" t="n">
        <v>0.088</v>
      </c>
      <c r="T301" s="6" t="n">
        <v>0</v>
      </c>
    </row>
    <row r="302" customFormat="false" ht="15" hidden="false" customHeight="false" outlineLevel="0" collapsed="false">
      <c r="A302" s="15" t="s">
        <v>708</v>
      </c>
      <c r="B302" s="15" t="s">
        <v>709</v>
      </c>
      <c r="C302" s="15" t="s">
        <v>77</v>
      </c>
      <c r="D302" s="6" t="n">
        <v>6546</v>
      </c>
      <c r="E302" s="6" t="n">
        <v>1572</v>
      </c>
      <c r="F302" s="16" t="n">
        <v>0.24</v>
      </c>
      <c r="G302" s="16" t="n">
        <v>0.052</v>
      </c>
      <c r="H302" s="16" t="n">
        <v>0.217</v>
      </c>
      <c r="I302" s="16" t="n">
        <v>0.069</v>
      </c>
      <c r="J302" s="6" t="n">
        <v>0</v>
      </c>
      <c r="K302" s="6" t="n">
        <v>0</v>
      </c>
      <c r="L302" s="7" t="n">
        <f aca="false">K302-J302</f>
        <v>0</v>
      </c>
      <c r="M302" s="10" t="str">
        <f aca="false">IF(J302=0,"",K302/J302-1)</f>
        <v/>
      </c>
      <c r="N302" s="17" t="n">
        <f aca="false">K302/D302*10000</f>
        <v>0</v>
      </c>
      <c r="O302" s="7" t="str">
        <f aca="false">IF(K302=0,"none",D302/K302)</f>
        <v>none</v>
      </c>
      <c r="P302" s="7" t="str">
        <f aca="false">IF(K302=0,"none",E302/K302)</f>
        <v>none</v>
      </c>
      <c r="Q302" s="16" t="n">
        <v>0.173</v>
      </c>
      <c r="R302" s="16" t="n">
        <v>0.458</v>
      </c>
      <c r="S302" s="16" t="n">
        <v>0.085</v>
      </c>
      <c r="T302" s="6" t="n">
        <v>0</v>
      </c>
    </row>
    <row r="303" customFormat="false" ht="15" hidden="false" customHeight="false" outlineLevel="0" collapsed="false">
      <c r="A303" s="15" t="s">
        <v>710</v>
      </c>
      <c r="B303" s="15" t="s">
        <v>173</v>
      </c>
      <c r="C303" s="15" t="s">
        <v>77</v>
      </c>
      <c r="D303" s="6" t="n">
        <v>10866</v>
      </c>
      <c r="E303" s="6" t="n">
        <v>1998</v>
      </c>
      <c r="F303" s="16" t="n">
        <v>0.184</v>
      </c>
      <c r="G303" s="16" t="n">
        <v>0.103</v>
      </c>
      <c r="H303" s="16" t="n">
        <v>0.226</v>
      </c>
      <c r="I303" s="16" t="n">
        <v>0.082</v>
      </c>
      <c r="J303" s="6" t="n">
        <v>0</v>
      </c>
      <c r="K303" s="6" t="n">
        <v>0</v>
      </c>
      <c r="L303" s="7" t="n">
        <f aca="false">K303-J303</f>
        <v>0</v>
      </c>
      <c r="M303" s="10" t="str">
        <f aca="false">IF(J303=0,"",K303/J303-1)</f>
        <v/>
      </c>
      <c r="N303" s="17" t="n">
        <f aca="false">K303/D303*10000</f>
        <v>0</v>
      </c>
      <c r="O303" s="7" t="str">
        <f aca="false">IF(K303=0,"none",D303/K303)</f>
        <v>none</v>
      </c>
      <c r="P303" s="7" t="str">
        <f aca="false">IF(K303=0,"none",E303/K303)</f>
        <v>none</v>
      </c>
      <c r="Q303" s="16" t="n">
        <v>0.162</v>
      </c>
      <c r="R303" s="16" t="n">
        <v>0.435</v>
      </c>
      <c r="S303" s="16" t="n">
        <v>0.115</v>
      </c>
      <c r="T303" s="6" t="n">
        <v>0</v>
      </c>
    </row>
    <row r="304" customFormat="false" ht="15" hidden="false" customHeight="false" outlineLevel="0" collapsed="false">
      <c r="A304" s="15" t="s">
        <v>711</v>
      </c>
      <c r="B304" s="15" t="s">
        <v>712</v>
      </c>
      <c r="C304" s="15" t="s">
        <v>77</v>
      </c>
      <c r="D304" s="6" t="n">
        <v>40392</v>
      </c>
      <c r="E304" s="6" t="n">
        <v>9265</v>
      </c>
      <c r="F304" s="16" t="n">
        <v>0.229</v>
      </c>
      <c r="G304" s="16" t="n">
        <v>0.076</v>
      </c>
      <c r="H304" s="16" t="n">
        <v>0.298</v>
      </c>
      <c r="I304" s="16" t="n">
        <v>0.063</v>
      </c>
      <c r="J304" s="6" t="n">
        <v>14</v>
      </c>
      <c r="K304" s="6" t="n">
        <v>13</v>
      </c>
      <c r="L304" s="7" t="n">
        <f aca="false">K304-J304</f>
        <v>-1</v>
      </c>
      <c r="M304" s="10" t="n">
        <f aca="false">IF(J304=0,"",K304/J304-1)</f>
        <v>-0.0714285714285714</v>
      </c>
      <c r="N304" s="17" t="n">
        <f aca="false">K304/D304*10000</f>
        <v>3.21845910081204</v>
      </c>
      <c r="O304" s="7" t="n">
        <f aca="false">IF(K304=0,"none",D304/K304)</f>
        <v>3107.07692307692</v>
      </c>
      <c r="P304" s="7" t="n">
        <f aca="false">IF(K304=0,"none",E304/K304)</f>
        <v>712.692307692308</v>
      </c>
      <c r="Q304" s="16" t="n">
        <v>0.159</v>
      </c>
      <c r="R304" s="16" t="n">
        <v>0.431</v>
      </c>
      <c r="S304" s="16" t="n">
        <v>0.087</v>
      </c>
      <c r="T304" s="6" t="n">
        <v>0</v>
      </c>
    </row>
    <row r="305" customFormat="false" ht="15" hidden="false" customHeight="false" outlineLevel="0" collapsed="false">
      <c r="A305" s="15" t="s">
        <v>713</v>
      </c>
      <c r="B305" s="15" t="s">
        <v>714</v>
      </c>
      <c r="C305" s="15" t="s">
        <v>77</v>
      </c>
      <c r="D305" s="6" t="n">
        <v>457900</v>
      </c>
      <c r="E305" s="6" t="n">
        <v>68485</v>
      </c>
      <c r="F305" s="16" t="n">
        <v>0.15</v>
      </c>
      <c r="G305" s="16" t="n">
        <v>0.043</v>
      </c>
      <c r="H305" s="16" t="n">
        <v>0.135</v>
      </c>
      <c r="I305" s="16" t="n">
        <v>0.069</v>
      </c>
      <c r="J305" s="6" t="n">
        <v>78</v>
      </c>
      <c r="K305" s="6" t="n">
        <v>68</v>
      </c>
      <c r="L305" s="7" t="n">
        <f aca="false">K305-J305</f>
        <v>-10</v>
      </c>
      <c r="M305" s="10" t="n">
        <f aca="false">IF(J305=0,"",K305/J305-1)</f>
        <v>-0.128205128205128</v>
      </c>
      <c r="N305" s="17" t="n">
        <f aca="false">K305/D305*10000</f>
        <v>1.48504040183446</v>
      </c>
      <c r="O305" s="7" t="n">
        <f aca="false">IF(K305=0,"none",D305/K305)</f>
        <v>6733.82352941177</v>
      </c>
      <c r="P305" s="7" t="n">
        <f aca="false">IF(K305=0,"none",E305/K305)</f>
        <v>1007.13235294118</v>
      </c>
      <c r="Q305" s="16" t="n">
        <v>0.123</v>
      </c>
      <c r="R305" s="16" t="n">
        <v>0.354</v>
      </c>
      <c r="S305" s="16" t="n">
        <v>0.07</v>
      </c>
      <c r="T305" s="6" t="n">
        <v>0</v>
      </c>
    </row>
    <row r="306" customFormat="false" ht="15" hidden="false" customHeight="false" outlineLevel="0" collapsed="false">
      <c r="A306" s="15" t="s">
        <v>715</v>
      </c>
      <c r="B306" s="15" t="s">
        <v>259</v>
      </c>
      <c r="C306" s="15" t="s">
        <v>77</v>
      </c>
      <c r="D306" s="6" t="n">
        <v>40800</v>
      </c>
      <c r="E306" s="6" t="n">
        <v>6772</v>
      </c>
      <c r="F306" s="16" t="n">
        <v>0.166</v>
      </c>
      <c r="G306" s="16" t="n">
        <v>0.055</v>
      </c>
      <c r="H306" s="16" t="n">
        <v>0.177</v>
      </c>
      <c r="I306" s="16" t="n">
        <v>0.107</v>
      </c>
      <c r="J306" s="6" t="n">
        <v>6</v>
      </c>
      <c r="K306" s="6" t="n">
        <v>6</v>
      </c>
      <c r="L306" s="7" t="n">
        <f aca="false">K306-J306</f>
        <v>0</v>
      </c>
      <c r="M306" s="10" t="n">
        <f aca="false">IF(J306=0,"",K306/J306-1)</f>
        <v>0</v>
      </c>
      <c r="N306" s="17" t="n">
        <f aca="false">K306/D306*10000</f>
        <v>1.47058823529412</v>
      </c>
      <c r="O306" s="7" t="n">
        <f aca="false">IF(K306=0,"none",D306/K306)</f>
        <v>6800</v>
      </c>
      <c r="P306" s="7" t="n">
        <f aca="false">IF(K306=0,"none",E306/K306)</f>
        <v>1128.66666666667</v>
      </c>
      <c r="Q306" s="16" t="n">
        <v>0.127</v>
      </c>
      <c r="R306" s="16" t="n">
        <v>0.361</v>
      </c>
      <c r="S306" s="16" t="n">
        <v>0.074</v>
      </c>
      <c r="T306" s="6" t="n">
        <v>0</v>
      </c>
    </row>
    <row r="307" customFormat="false" ht="15" hidden="false" customHeight="false" outlineLevel="0" collapsed="false">
      <c r="A307" s="15" t="s">
        <v>716</v>
      </c>
      <c r="B307" s="15" t="s">
        <v>215</v>
      </c>
      <c r="C307" s="15" t="s">
        <v>77</v>
      </c>
      <c r="D307" s="6" t="n">
        <v>53985</v>
      </c>
      <c r="E307" s="6" t="n">
        <v>12936</v>
      </c>
      <c r="F307" s="16" t="n">
        <v>0.24</v>
      </c>
      <c r="G307" s="16" t="n">
        <v>0.044</v>
      </c>
      <c r="H307" s="16" t="n">
        <v>0.201</v>
      </c>
      <c r="I307" s="16" t="n">
        <v>0.08</v>
      </c>
      <c r="J307" s="6" t="n">
        <v>17</v>
      </c>
      <c r="K307" s="6" t="n">
        <v>16</v>
      </c>
      <c r="L307" s="7" t="n">
        <f aca="false">K307-J307</f>
        <v>-1</v>
      </c>
      <c r="M307" s="10" t="n">
        <f aca="false">IF(J307=0,"",K307/J307-1)</f>
        <v>-0.0588235294117647</v>
      </c>
      <c r="N307" s="17" t="n">
        <f aca="false">K307/D307*10000</f>
        <v>2.96378623691766</v>
      </c>
      <c r="O307" s="7" t="n">
        <f aca="false">IF(K307=0,"none",D307/K307)</f>
        <v>3374.0625</v>
      </c>
      <c r="P307" s="7" t="n">
        <f aca="false">IF(K307=0,"none",E307/K307)</f>
        <v>808.5</v>
      </c>
      <c r="Q307" s="16" t="n">
        <v>0.138</v>
      </c>
      <c r="R307" s="16" t="n">
        <v>0.4</v>
      </c>
      <c r="S307" s="16" t="n">
        <v>0.066</v>
      </c>
      <c r="T307" s="6" t="n">
        <v>0</v>
      </c>
    </row>
    <row r="308" customFormat="false" ht="15" hidden="false" customHeight="false" outlineLevel="0" collapsed="false">
      <c r="A308" s="15" t="s">
        <v>717</v>
      </c>
      <c r="B308" s="15" t="s">
        <v>718</v>
      </c>
      <c r="C308" s="15" t="s">
        <v>77</v>
      </c>
      <c r="D308" s="6" t="n">
        <v>22341</v>
      </c>
      <c r="E308" s="6" t="n">
        <v>3883</v>
      </c>
      <c r="F308" s="16" t="n">
        <v>0.174</v>
      </c>
      <c r="G308" s="16" t="n">
        <v>0.078</v>
      </c>
      <c r="H308" s="16" t="n">
        <v>0.266</v>
      </c>
      <c r="I308" s="16" t="n">
        <v>0.097</v>
      </c>
      <c r="J308" s="6" t="n">
        <v>5</v>
      </c>
      <c r="K308" s="6" t="n">
        <v>7</v>
      </c>
      <c r="L308" s="7" t="n">
        <f aca="false">K308-J308</f>
        <v>2</v>
      </c>
      <c r="M308" s="10" t="n">
        <f aca="false">IF(J308=0,"",K308/J308-1)</f>
        <v>0.4</v>
      </c>
      <c r="N308" s="17" t="n">
        <f aca="false">K308/D308*10000</f>
        <v>3.13325276397655</v>
      </c>
      <c r="O308" s="7" t="n">
        <f aca="false">IF(K308=0,"none",D308/K308)</f>
        <v>3191.57142857143</v>
      </c>
      <c r="P308" s="7" t="n">
        <f aca="false">IF(K308=0,"none",E308/K308)</f>
        <v>554.714285714286</v>
      </c>
      <c r="Q308" s="16" t="n">
        <v>0.132</v>
      </c>
      <c r="R308" s="16" t="n">
        <v>0.376</v>
      </c>
      <c r="S308" s="16" t="n">
        <v>0.083</v>
      </c>
      <c r="T308" s="6" t="n">
        <v>0</v>
      </c>
    </row>
    <row r="309" customFormat="false" ht="15" hidden="false" customHeight="false" outlineLevel="0" collapsed="false">
      <c r="A309" s="15" t="s">
        <v>719</v>
      </c>
      <c r="B309" s="15" t="s">
        <v>487</v>
      </c>
      <c r="C309" s="15" t="s">
        <v>77</v>
      </c>
      <c r="D309" s="6" t="n">
        <v>18480</v>
      </c>
      <c r="E309" s="6" t="n">
        <v>4757</v>
      </c>
      <c r="F309" s="16" t="n">
        <v>0.257</v>
      </c>
      <c r="G309" s="16" t="n">
        <v>0.061</v>
      </c>
      <c r="H309" s="16" t="n">
        <v>0.277</v>
      </c>
      <c r="I309" s="16" t="n">
        <v>0.086</v>
      </c>
      <c r="J309" s="6" t="n">
        <v>4</v>
      </c>
      <c r="K309" s="6" t="n">
        <v>4</v>
      </c>
      <c r="L309" s="7" t="n">
        <f aca="false">K309-J309</f>
        <v>0</v>
      </c>
      <c r="M309" s="10" t="n">
        <f aca="false">IF(J309=0,"",K309/J309-1)</f>
        <v>0</v>
      </c>
      <c r="N309" s="17" t="n">
        <f aca="false">K309/D309*10000</f>
        <v>2.16450216450216</v>
      </c>
      <c r="O309" s="7" t="n">
        <f aca="false">IF(K309=0,"none",D309/K309)</f>
        <v>4620</v>
      </c>
      <c r="P309" s="7" t="n">
        <f aca="false">IF(K309=0,"none",E309/K309)</f>
        <v>1189.25</v>
      </c>
      <c r="Q309" s="16" t="n">
        <v>0.183</v>
      </c>
      <c r="R309" s="16" t="n">
        <v>0.454</v>
      </c>
      <c r="S309" s="16" t="n">
        <v>0.097</v>
      </c>
      <c r="T309" s="6" t="n">
        <v>0</v>
      </c>
    </row>
    <row r="310" customFormat="false" ht="15" hidden="false" customHeight="false" outlineLevel="0" collapsed="false">
      <c r="A310" s="15" t="s">
        <v>720</v>
      </c>
      <c r="B310" s="15" t="s">
        <v>721</v>
      </c>
      <c r="C310" s="15" t="s">
        <v>77</v>
      </c>
      <c r="D310" s="6" t="n">
        <v>15486</v>
      </c>
      <c r="E310" s="6" t="n">
        <v>2597</v>
      </c>
      <c r="F310" s="16" t="n">
        <v>0.168</v>
      </c>
      <c r="G310" s="16" t="n">
        <v>0.071</v>
      </c>
      <c r="H310" s="16" t="n">
        <v>0.202</v>
      </c>
      <c r="I310" s="16" t="n">
        <v>0.06</v>
      </c>
      <c r="J310" s="6" t="n">
        <v>7</v>
      </c>
      <c r="K310" s="6" t="n">
        <v>4</v>
      </c>
      <c r="L310" s="7" t="n">
        <f aca="false">K310-J310</f>
        <v>-3</v>
      </c>
      <c r="M310" s="10" t="n">
        <f aca="false">IF(J310=0,"",K310/J310-1)</f>
        <v>-0.428571428571429</v>
      </c>
      <c r="N310" s="17" t="n">
        <f aca="false">K310/D310*10000</f>
        <v>2.58297817383443</v>
      </c>
      <c r="O310" s="7" t="n">
        <f aca="false">IF(K310=0,"none",D310/K310)</f>
        <v>3871.5</v>
      </c>
      <c r="P310" s="7" t="n">
        <f aca="false">IF(K310=0,"none",E310/K310)</f>
        <v>649.25</v>
      </c>
      <c r="Q310" s="16" t="n">
        <v>0.094</v>
      </c>
      <c r="R310" s="16" t="n">
        <v>0.285</v>
      </c>
      <c r="S310" s="16" t="n">
        <v>0.082</v>
      </c>
      <c r="T310" s="6" t="n">
        <v>0</v>
      </c>
    </row>
    <row r="311" customFormat="false" ht="15" hidden="false" customHeight="false" outlineLevel="0" collapsed="false">
      <c r="A311" s="15" t="s">
        <v>722</v>
      </c>
      <c r="B311" s="15" t="s">
        <v>723</v>
      </c>
      <c r="C311" s="15" t="s">
        <v>77</v>
      </c>
      <c r="D311" s="6" t="n">
        <v>28103</v>
      </c>
      <c r="E311" s="6" t="n">
        <v>4615</v>
      </c>
      <c r="F311" s="16" t="n">
        <v>0.164</v>
      </c>
      <c r="G311" s="16" t="n">
        <v>0.1</v>
      </c>
      <c r="H311" s="16" t="n">
        <v>0.273</v>
      </c>
      <c r="I311" s="16" t="n">
        <v>0.12</v>
      </c>
      <c r="J311" s="6" t="n">
        <v>13</v>
      </c>
      <c r="K311" s="6" t="n">
        <v>15</v>
      </c>
      <c r="L311" s="7" t="n">
        <f aca="false">K311-J311</f>
        <v>2</v>
      </c>
      <c r="M311" s="10" t="n">
        <f aca="false">IF(J311=0,"",K311/J311-1)</f>
        <v>0.153846153846154</v>
      </c>
      <c r="N311" s="17" t="n">
        <f aca="false">K311/D311*10000</f>
        <v>5.33750845105505</v>
      </c>
      <c r="O311" s="7" t="n">
        <f aca="false">IF(K311=0,"none",D311/K311)</f>
        <v>1873.53333333333</v>
      </c>
      <c r="P311" s="7" t="n">
        <f aca="false">IF(K311=0,"none",E311/K311)</f>
        <v>307.666666666667</v>
      </c>
      <c r="Q311" s="16" t="n">
        <v>0.142</v>
      </c>
      <c r="R311" s="16" t="n">
        <v>0.375</v>
      </c>
      <c r="S311" s="16" t="n">
        <v>0.098</v>
      </c>
      <c r="T311" s="6" t="n">
        <v>0</v>
      </c>
    </row>
    <row r="312" customFormat="false" ht="15" hidden="false" customHeight="false" outlineLevel="0" collapsed="false">
      <c r="A312" s="15" t="s">
        <v>724</v>
      </c>
      <c r="B312" s="15" t="s">
        <v>725</v>
      </c>
      <c r="C312" s="15" t="s">
        <v>77</v>
      </c>
      <c r="D312" s="6" t="n">
        <v>36105</v>
      </c>
      <c r="E312" s="6" t="n">
        <v>6909</v>
      </c>
      <c r="F312" s="16" t="n">
        <v>0.191</v>
      </c>
      <c r="G312" s="16" t="n">
        <v>0.097</v>
      </c>
      <c r="H312" s="16" t="n">
        <v>0.307</v>
      </c>
      <c r="I312" s="16" t="n">
        <v>0.078</v>
      </c>
      <c r="J312" s="6" t="n">
        <v>11</v>
      </c>
      <c r="K312" s="6" t="n">
        <v>11</v>
      </c>
      <c r="L312" s="7" t="n">
        <f aca="false">K312-J312</f>
        <v>0</v>
      </c>
      <c r="M312" s="10" t="n">
        <f aca="false">IF(J312=0,"",K312/J312-1)</f>
        <v>0</v>
      </c>
      <c r="N312" s="17" t="n">
        <f aca="false">K312/D312*10000</f>
        <v>3.04666943636615</v>
      </c>
      <c r="O312" s="7" t="n">
        <f aca="false">IF(K312=0,"none",D312/K312)</f>
        <v>3282.27272727273</v>
      </c>
      <c r="P312" s="7" t="n">
        <f aca="false">IF(K312=0,"none",E312/K312)</f>
        <v>628.090909090909</v>
      </c>
      <c r="Q312" s="16" t="n">
        <v>0.151</v>
      </c>
      <c r="R312" s="16" t="n">
        <v>0.418</v>
      </c>
      <c r="S312" s="16" t="n">
        <v>0.095</v>
      </c>
      <c r="T312" s="6" t="n">
        <v>0</v>
      </c>
    </row>
    <row r="313" customFormat="false" ht="15" hidden="false" customHeight="false" outlineLevel="0" collapsed="false">
      <c r="A313" s="15" t="s">
        <v>726</v>
      </c>
      <c r="B313" s="15" t="s">
        <v>727</v>
      </c>
      <c r="C313" s="15" t="s">
        <v>77</v>
      </c>
      <c r="D313" s="6" t="n">
        <v>28275</v>
      </c>
      <c r="E313" s="6" t="n">
        <v>6110</v>
      </c>
      <c r="F313" s="16" t="n">
        <v>0.216</v>
      </c>
      <c r="G313" s="16" t="n">
        <v>0.084</v>
      </c>
      <c r="H313" s="16" t="n">
        <v>0.243</v>
      </c>
      <c r="I313" s="16" t="n">
        <v>0.06</v>
      </c>
      <c r="J313" s="6" t="n">
        <v>6</v>
      </c>
      <c r="K313" s="6" t="n">
        <v>7</v>
      </c>
      <c r="L313" s="7" t="n">
        <f aca="false">K313-J313</f>
        <v>1</v>
      </c>
      <c r="M313" s="10" t="n">
        <f aca="false">IF(J313=0,"",K313/J313-1)</f>
        <v>0.166666666666667</v>
      </c>
      <c r="N313" s="17" t="n">
        <f aca="false">K313/D313*10000</f>
        <v>2.47568523430592</v>
      </c>
      <c r="O313" s="7" t="n">
        <f aca="false">IF(K313=0,"none",D313/K313)</f>
        <v>4039.28571428571</v>
      </c>
      <c r="P313" s="7" t="n">
        <f aca="false">IF(K313=0,"none",E313/K313)</f>
        <v>872.857142857143</v>
      </c>
      <c r="Q313" s="16" t="n">
        <v>0.143</v>
      </c>
      <c r="R313" s="16" t="n">
        <v>0.403</v>
      </c>
      <c r="S313" s="16" t="n">
        <v>0.075</v>
      </c>
      <c r="T313" s="6" t="n">
        <v>0</v>
      </c>
    </row>
    <row r="314" customFormat="false" ht="15" hidden="false" customHeight="false" outlineLevel="0" collapsed="false">
      <c r="A314" s="15" t="s">
        <v>728</v>
      </c>
      <c r="B314" s="15" t="s">
        <v>490</v>
      </c>
      <c r="C314" s="15" t="s">
        <v>77</v>
      </c>
      <c r="D314" s="6" t="n">
        <v>70238</v>
      </c>
      <c r="E314" s="6" t="n">
        <v>11958</v>
      </c>
      <c r="F314" s="16" t="n">
        <v>0.17</v>
      </c>
      <c r="G314" s="16" t="n">
        <v>0.039</v>
      </c>
      <c r="H314" s="16" t="n">
        <v>0.082</v>
      </c>
      <c r="I314" s="16" t="n">
        <v>0.04</v>
      </c>
      <c r="J314" s="6" t="n">
        <v>15</v>
      </c>
      <c r="K314" s="6" t="n">
        <v>13</v>
      </c>
      <c r="L314" s="7" t="n">
        <f aca="false">K314-J314</f>
        <v>-2</v>
      </c>
      <c r="M314" s="10" t="n">
        <f aca="false">IF(J314=0,"",K314/J314-1)</f>
        <v>-0.133333333333333</v>
      </c>
      <c r="N314" s="17" t="n">
        <f aca="false">K314/D314*10000</f>
        <v>1.85084996725419</v>
      </c>
      <c r="O314" s="7" t="n">
        <f aca="false">IF(K314=0,"none",D314/K314)</f>
        <v>5402.92307692308</v>
      </c>
      <c r="P314" s="7" t="n">
        <f aca="false">IF(K314=0,"none",E314/K314)</f>
        <v>919.846153846154</v>
      </c>
      <c r="Q314" s="16" t="n">
        <v>0.111</v>
      </c>
      <c r="R314" s="16" t="n">
        <v>0.334</v>
      </c>
      <c r="S314" s="16" t="n">
        <v>0.056</v>
      </c>
      <c r="T314" s="6" t="n">
        <v>0</v>
      </c>
    </row>
    <row r="315" customFormat="false" ht="15" hidden="false" customHeight="false" outlineLevel="0" collapsed="false">
      <c r="A315" s="15" t="s">
        <v>729</v>
      </c>
      <c r="B315" s="15" t="s">
        <v>730</v>
      </c>
      <c r="C315" s="15" t="s">
        <v>78</v>
      </c>
      <c r="D315" s="6" t="n">
        <v>15527</v>
      </c>
      <c r="E315" s="6" t="n">
        <v>3235</v>
      </c>
      <c r="F315" s="16" t="n">
        <v>0.208</v>
      </c>
      <c r="G315" s="16" t="n">
        <v>0.069</v>
      </c>
      <c r="H315" s="16" t="n">
        <v>0.323</v>
      </c>
      <c r="I315" s="16" t="n">
        <v>0.055</v>
      </c>
      <c r="J315" s="6" t="n">
        <v>3</v>
      </c>
      <c r="K315" s="6" t="n">
        <v>3</v>
      </c>
      <c r="L315" s="7" t="n">
        <f aca="false">K315-J315</f>
        <v>0</v>
      </c>
      <c r="M315" s="10" t="n">
        <f aca="false">IF(J315=0,"",K315/J315-1)</f>
        <v>0</v>
      </c>
      <c r="N315" s="17" t="n">
        <f aca="false">K315/D315*10000</f>
        <v>1.93211824563663</v>
      </c>
      <c r="O315" s="7" t="n">
        <f aca="false">IF(K315=0,"none",D315/K315)</f>
        <v>5175.66666666667</v>
      </c>
      <c r="P315" s="7" t="n">
        <f aca="false">IF(K315=0,"none",E315/K315)</f>
        <v>1078.33333333333</v>
      </c>
      <c r="Q315" s="16" t="n">
        <v>0.169</v>
      </c>
      <c r="R315" s="16" t="n">
        <v>0.464</v>
      </c>
      <c r="S315" s="16" t="n">
        <v>0.1</v>
      </c>
      <c r="T315" s="6" t="n">
        <v>0</v>
      </c>
    </row>
    <row r="316" customFormat="false" ht="15" hidden="false" customHeight="false" outlineLevel="0" collapsed="false">
      <c r="A316" s="15" t="s">
        <v>731</v>
      </c>
      <c r="B316" s="15" t="s">
        <v>732</v>
      </c>
      <c r="C316" s="15" t="s">
        <v>78</v>
      </c>
      <c r="D316" s="6" t="n">
        <v>123283</v>
      </c>
      <c r="E316" s="6" t="n">
        <v>18452</v>
      </c>
      <c r="F316" s="16" t="n">
        <v>0.15</v>
      </c>
      <c r="G316" s="16" t="n">
        <v>0.055</v>
      </c>
      <c r="H316" s="16" t="n">
        <v>0.184</v>
      </c>
      <c r="I316" s="16" t="n">
        <v>0.062</v>
      </c>
      <c r="J316" s="6" t="n">
        <v>19</v>
      </c>
      <c r="K316" s="6" t="n">
        <v>17</v>
      </c>
      <c r="L316" s="7" t="n">
        <f aca="false">K316-J316</f>
        <v>-2</v>
      </c>
      <c r="M316" s="10" t="n">
        <f aca="false">IF(J316=0,"",K316/J316-1)</f>
        <v>-0.105263157894737</v>
      </c>
      <c r="N316" s="17" t="n">
        <f aca="false">K316/D316*10000</f>
        <v>1.37894113543635</v>
      </c>
      <c r="O316" s="7" t="n">
        <f aca="false">IF(K316=0,"none",D316/K316)</f>
        <v>7251.94117647059</v>
      </c>
      <c r="P316" s="7" t="n">
        <f aca="false">IF(K316=0,"none",E316/K316)</f>
        <v>1085.41176470588</v>
      </c>
      <c r="Q316" s="16" t="n">
        <v>0.135</v>
      </c>
      <c r="R316" s="16" t="n">
        <v>0.396</v>
      </c>
      <c r="S316" s="16" t="n">
        <v>0.085</v>
      </c>
      <c r="T316" s="6" t="n">
        <v>2</v>
      </c>
    </row>
    <row r="317" customFormat="false" ht="15" hidden="false" customHeight="false" outlineLevel="0" collapsed="false">
      <c r="A317" s="15" t="s">
        <v>733</v>
      </c>
      <c r="B317" s="15" t="s">
        <v>734</v>
      </c>
      <c r="C317" s="15" t="s">
        <v>78</v>
      </c>
      <c r="D317" s="6" t="n">
        <v>21705</v>
      </c>
      <c r="E317" s="6" t="n">
        <v>4573</v>
      </c>
      <c r="F317" s="16" t="n">
        <v>0.211</v>
      </c>
      <c r="G317" s="16" t="n">
        <v>0.081</v>
      </c>
      <c r="H317" s="16" t="n">
        <v>0.26</v>
      </c>
      <c r="I317" s="16" t="n">
        <v>0.058</v>
      </c>
      <c r="J317" s="6" t="n">
        <v>10</v>
      </c>
      <c r="K317" s="6" t="n">
        <v>9</v>
      </c>
      <c r="L317" s="7" t="n">
        <f aca="false">K317-J317</f>
        <v>-1</v>
      </c>
      <c r="M317" s="10" t="n">
        <f aca="false">IF(J317=0,"",K317/J317-1)</f>
        <v>-0.1</v>
      </c>
      <c r="N317" s="17" t="n">
        <f aca="false">K317/D317*10000</f>
        <v>4.14651002073255</v>
      </c>
      <c r="O317" s="7" t="n">
        <f aca="false">IF(K317=0,"none",D317/K317)</f>
        <v>2411.66666666667</v>
      </c>
      <c r="P317" s="7" t="n">
        <f aca="false">IF(K317=0,"none",E317/K317)</f>
        <v>508.111111111111</v>
      </c>
      <c r="Q317" s="16" t="n">
        <v>0.173</v>
      </c>
      <c r="R317" s="16" t="n">
        <v>0.481</v>
      </c>
      <c r="S317" s="16" t="n">
        <v>0.091</v>
      </c>
      <c r="T317" s="6" t="n">
        <v>0</v>
      </c>
    </row>
    <row r="318" customFormat="false" ht="15" hidden="false" customHeight="false" outlineLevel="0" collapsed="false">
      <c r="A318" s="15" t="s">
        <v>735</v>
      </c>
      <c r="B318" s="15" t="s">
        <v>736</v>
      </c>
      <c r="C318" s="15" t="s">
        <v>78</v>
      </c>
      <c r="D318" s="6" t="n">
        <v>12505</v>
      </c>
      <c r="E318" s="6" t="n">
        <v>3012</v>
      </c>
      <c r="F318" s="16" t="n">
        <v>0.241</v>
      </c>
      <c r="G318" s="16" t="n">
        <v>0.082</v>
      </c>
      <c r="H318" s="16" t="n">
        <v>0.344</v>
      </c>
      <c r="I318" s="16" t="n">
        <v>0.097</v>
      </c>
      <c r="J318" s="6" t="n">
        <v>3</v>
      </c>
      <c r="K318" s="6" t="n">
        <v>3</v>
      </c>
      <c r="L318" s="7" t="n">
        <f aca="false">K318-J318</f>
        <v>0</v>
      </c>
      <c r="M318" s="10" t="n">
        <f aca="false">IF(J318=0,"",K318/J318-1)</f>
        <v>0</v>
      </c>
      <c r="N318" s="17" t="n">
        <f aca="false">K318/D318*10000</f>
        <v>2.39904038384646</v>
      </c>
      <c r="O318" s="7" t="n">
        <f aca="false">IF(K318=0,"none",D318/K318)</f>
        <v>4168.33333333333</v>
      </c>
      <c r="P318" s="7" t="n">
        <f aca="false">IF(K318=0,"none",E318/K318)</f>
        <v>1004</v>
      </c>
      <c r="Q318" s="16" t="n">
        <v>0.191</v>
      </c>
      <c r="R318" s="16" t="n">
        <v>0.49</v>
      </c>
      <c r="S318" s="16" t="n">
        <v>0.105</v>
      </c>
      <c r="T318" s="6" t="n">
        <v>0</v>
      </c>
    </row>
    <row r="319" customFormat="false" ht="15" hidden="false" customHeight="false" outlineLevel="0" collapsed="false">
      <c r="A319" s="15" t="s">
        <v>737</v>
      </c>
      <c r="B319" s="15" t="s">
        <v>738</v>
      </c>
      <c r="C319" s="15" t="s">
        <v>78</v>
      </c>
      <c r="D319" s="6" t="n">
        <v>22349</v>
      </c>
      <c r="E319" s="6" t="n">
        <v>5380</v>
      </c>
      <c r="F319" s="16" t="n">
        <v>0.241</v>
      </c>
      <c r="G319" s="16" t="n">
        <v>0.07</v>
      </c>
      <c r="H319" s="16" t="n">
        <v>0.209</v>
      </c>
      <c r="I319" s="16" t="n">
        <v>0.054</v>
      </c>
      <c r="J319" s="6" t="n">
        <v>9</v>
      </c>
      <c r="K319" s="6" t="n">
        <v>7</v>
      </c>
      <c r="L319" s="7" t="n">
        <f aca="false">K319-J319</f>
        <v>-2</v>
      </c>
      <c r="M319" s="10" t="n">
        <f aca="false">IF(J319=0,"",K319/J319-1)</f>
        <v>-0.222222222222222</v>
      </c>
      <c r="N319" s="17" t="n">
        <f aca="false">K319/D319*10000</f>
        <v>3.13213119155219</v>
      </c>
      <c r="O319" s="7" t="n">
        <f aca="false">IF(K319=0,"none",D319/K319)</f>
        <v>3192.71428571429</v>
      </c>
      <c r="P319" s="7" t="n">
        <f aca="false">IF(K319=0,"none",E319/K319)</f>
        <v>768.571428571429</v>
      </c>
      <c r="Q319" s="16" t="n">
        <v>0.155</v>
      </c>
      <c r="R319" s="16" t="n">
        <v>0.446</v>
      </c>
      <c r="S319" s="16" t="n">
        <v>0.073</v>
      </c>
      <c r="T319" s="6" t="n">
        <v>0</v>
      </c>
    </row>
    <row r="320" customFormat="false" ht="15" hidden="false" customHeight="false" outlineLevel="0" collapsed="false">
      <c r="A320" s="15" t="s">
        <v>739</v>
      </c>
      <c r="B320" s="15" t="s">
        <v>740</v>
      </c>
      <c r="C320" s="15" t="s">
        <v>78</v>
      </c>
      <c r="D320" s="6" t="n">
        <v>93965</v>
      </c>
      <c r="E320" s="6" t="n">
        <v>18192</v>
      </c>
      <c r="F320" s="16" t="n">
        <v>0.194</v>
      </c>
      <c r="G320" s="16" t="n">
        <v>0.103</v>
      </c>
      <c r="H320" s="16" t="n">
        <v>0.319</v>
      </c>
      <c r="I320" s="16" t="n">
        <v>0.075</v>
      </c>
      <c r="J320" s="6" t="n">
        <v>37</v>
      </c>
      <c r="K320" s="6" t="n">
        <v>27</v>
      </c>
      <c r="L320" s="7" t="n">
        <f aca="false">K320-J320</f>
        <v>-10</v>
      </c>
      <c r="M320" s="10" t="n">
        <f aca="false">IF(J320=0,"",K320/J320-1)</f>
        <v>-0.27027027027027</v>
      </c>
      <c r="N320" s="17" t="n">
        <f aca="false">K320/D320*10000</f>
        <v>2.87341031235034</v>
      </c>
      <c r="O320" s="7" t="n">
        <f aca="false">IF(K320=0,"none",D320/K320)</f>
        <v>3480.18518518519</v>
      </c>
      <c r="P320" s="7" t="n">
        <f aca="false">IF(K320=0,"none",E320/K320)</f>
        <v>673.777777777778</v>
      </c>
      <c r="Q320" s="16" t="n">
        <v>0.149</v>
      </c>
      <c r="R320" s="16" t="n">
        <v>0.398</v>
      </c>
      <c r="S320" s="16" t="n">
        <v>0.095</v>
      </c>
      <c r="T320" s="6" t="n">
        <v>0</v>
      </c>
    </row>
    <row r="321" customFormat="false" ht="15" hidden="false" customHeight="false" outlineLevel="0" collapsed="false">
      <c r="A321" s="15" t="s">
        <v>741</v>
      </c>
      <c r="B321" s="15" t="s">
        <v>742</v>
      </c>
      <c r="C321" s="15" t="s">
        <v>78</v>
      </c>
      <c r="D321" s="6" t="n">
        <v>6279</v>
      </c>
      <c r="E321" s="6" t="n">
        <v>1572</v>
      </c>
      <c r="F321" s="16" t="n">
        <v>0.25</v>
      </c>
      <c r="G321" s="16" t="n">
        <v>0.077</v>
      </c>
      <c r="H321" s="16" t="n">
        <v>0.405</v>
      </c>
      <c r="I321" s="16" t="n">
        <v>0.091</v>
      </c>
      <c r="J321" s="6" t="n">
        <v>3</v>
      </c>
      <c r="K321" s="6" t="n">
        <v>3</v>
      </c>
      <c r="L321" s="7" t="n">
        <f aca="false">K321-J321</f>
        <v>0</v>
      </c>
      <c r="M321" s="10" t="n">
        <f aca="false">IF(J321=0,"",K321/J321-1)</f>
        <v>0</v>
      </c>
      <c r="N321" s="17" t="n">
        <f aca="false">K321/D321*10000</f>
        <v>4.77783086478739</v>
      </c>
      <c r="O321" s="7" t="n">
        <f aca="false">IF(K321=0,"none",D321/K321)</f>
        <v>2093</v>
      </c>
      <c r="P321" s="7" t="n">
        <f aca="false">IF(K321=0,"none",E321/K321)</f>
        <v>524</v>
      </c>
      <c r="Q321" s="16" t="n">
        <v>0.211</v>
      </c>
      <c r="R321" s="16" t="n">
        <v>0.514</v>
      </c>
      <c r="S321" s="16" t="n">
        <v>0.113</v>
      </c>
      <c r="T321" s="6" t="n">
        <v>0</v>
      </c>
    </row>
    <row r="322" customFormat="false" ht="15" hidden="false" customHeight="false" outlineLevel="0" collapsed="false">
      <c r="A322" s="15" t="s">
        <v>743</v>
      </c>
      <c r="B322" s="15" t="s">
        <v>744</v>
      </c>
      <c r="C322" s="15" t="s">
        <v>78</v>
      </c>
      <c r="D322" s="6" t="n">
        <v>8049</v>
      </c>
      <c r="E322" s="6" t="n">
        <v>1709</v>
      </c>
      <c r="F322" s="16" t="n">
        <v>0.212</v>
      </c>
      <c r="G322" s="16" t="n">
        <v>0.079</v>
      </c>
      <c r="H322" s="16" t="n">
        <v>0.346</v>
      </c>
      <c r="I322" s="16" t="n">
        <v>0.05</v>
      </c>
      <c r="J322" s="6" t="n">
        <v>4</v>
      </c>
      <c r="K322" s="6" t="n">
        <v>3</v>
      </c>
      <c r="L322" s="7" t="n">
        <f aca="false">K322-J322</f>
        <v>-1</v>
      </c>
      <c r="M322" s="10" t="n">
        <f aca="false">IF(J322=0,"",K322/J322-1)</f>
        <v>-0.25</v>
      </c>
      <c r="N322" s="17" t="n">
        <f aca="false">K322/D322*10000</f>
        <v>3.72717107715244</v>
      </c>
      <c r="O322" s="7" t="n">
        <f aca="false">IF(K322=0,"none",D322/K322)</f>
        <v>2683</v>
      </c>
      <c r="P322" s="7" t="n">
        <f aca="false">IF(K322=0,"none",E322/K322)</f>
        <v>569.666666666667</v>
      </c>
      <c r="Q322" s="16" t="n">
        <v>0.188</v>
      </c>
      <c r="R322" s="16" t="n">
        <v>0.484</v>
      </c>
      <c r="S322" s="16" t="n">
        <v>0.105</v>
      </c>
      <c r="T322" s="6" t="n">
        <v>0</v>
      </c>
    </row>
    <row r="323" customFormat="false" ht="15" hidden="false" customHeight="false" outlineLevel="0" collapsed="false">
      <c r="A323" s="15" t="s">
        <v>745</v>
      </c>
      <c r="B323" s="15" t="s">
        <v>746</v>
      </c>
      <c r="C323" s="15" t="s">
        <v>78</v>
      </c>
      <c r="D323" s="6" t="n">
        <v>7847</v>
      </c>
      <c r="E323" s="6" t="n">
        <v>1634</v>
      </c>
      <c r="F323" s="16" t="n">
        <v>0.208</v>
      </c>
      <c r="G323" s="16" t="n">
        <v>0.026</v>
      </c>
      <c r="H323" s="16" t="n">
        <v>0.255</v>
      </c>
      <c r="I323" s="16" t="n">
        <v>0.082</v>
      </c>
      <c r="J323" s="6" t="n">
        <v>1</v>
      </c>
      <c r="K323" s="6" t="n">
        <v>1</v>
      </c>
      <c r="L323" s="7" t="n">
        <f aca="false">K323-J323</f>
        <v>0</v>
      </c>
      <c r="M323" s="10" t="n">
        <f aca="false">IF(J323=0,"",K323/J323-1)</f>
        <v>0</v>
      </c>
      <c r="N323" s="17" t="n">
        <f aca="false">K323/D323*10000</f>
        <v>1.27437237160698</v>
      </c>
      <c r="O323" s="7" t="n">
        <f aca="false">IF(K323=0,"none",D323/K323)</f>
        <v>7847</v>
      </c>
      <c r="P323" s="7" t="n">
        <f aca="false">IF(K323=0,"none",E323/K323)</f>
        <v>1634</v>
      </c>
      <c r="Q323" s="16" t="n">
        <v>0.164</v>
      </c>
      <c r="R323" s="16" t="n">
        <v>0.455</v>
      </c>
      <c r="S323" s="16" t="n">
        <v>0.093</v>
      </c>
      <c r="T323" s="6" t="n">
        <v>0</v>
      </c>
    </row>
    <row r="324" customFormat="false" ht="15" hidden="false" customHeight="false" outlineLevel="0" collapsed="false">
      <c r="A324" s="15" t="s">
        <v>747</v>
      </c>
      <c r="B324" s="15" t="s">
        <v>423</v>
      </c>
      <c r="C324" s="15" t="s">
        <v>78</v>
      </c>
      <c r="D324" s="6" t="n">
        <v>40545</v>
      </c>
      <c r="E324" s="6" t="n">
        <v>8878</v>
      </c>
      <c r="F324" s="16" t="n">
        <v>0.219</v>
      </c>
      <c r="G324" s="16" t="n">
        <v>0.102</v>
      </c>
      <c r="H324" s="16" t="n">
        <v>0.316</v>
      </c>
      <c r="I324" s="16" t="n">
        <v>0.08</v>
      </c>
      <c r="J324" s="6" t="n">
        <v>12</v>
      </c>
      <c r="K324" s="6" t="n">
        <v>10</v>
      </c>
      <c r="L324" s="7" t="n">
        <f aca="false">K324-J324</f>
        <v>-2</v>
      </c>
      <c r="M324" s="10" t="n">
        <f aca="false">IF(J324=0,"",K324/J324-1)</f>
        <v>-0.166666666666667</v>
      </c>
      <c r="N324" s="17" t="n">
        <f aca="false">K324/D324*10000</f>
        <v>2.46639536317672</v>
      </c>
      <c r="O324" s="7" t="n">
        <f aca="false">IF(K324=0,"none",D324/K324)</f>
        <v>4054.5</v>
      </c>
      <c r="P324" s="7" t="n">
        <f aca="false">IF(K324=0,"none",E324/K324)</f>
        <v>887.8</v>
      </c>
      <c r="Q324" s="16" t="n">
        <v>0.179</v>
      </c>
      <c r="R324" s="16" t="n">
        <v>0.456</v>
      </c>
      <c r="S324" s="16" t="n">
        <v>0.095</v>
      </c>
      <c r="T324" s="6" t="n">
        <v>0</v>
      </c>
    </row>
    <row r="325" customFormat="false" ht="15" hidden="false" customHeight="false" outlineLevel="0" collapsed="false">
      <c r="A325" s="15" t="s">
        <v>748</v>
      </c>
      <c r="B325" s="15" t="s">
        <v>749</v>
      </c>
      <c r="C325" s="15" t="s">
        <v>78</v>
      </c>
      <c r="D325" s="6" t="n">
        <v>7444</v>
      </c>
      <c r="E325" s="6" t="n">
        <v>1303</v>
      </c>
      <c r="F325" s="16" t="n">
        <v>0.175</v>
      </c>
      <c r="G325" s="16" t="n">
        <v>0.066</v>
      </c>
      <c r="H325" s="16" t="n">
        <v>0.221</v>
      </c>
      <c r="I325" s="16" t="n">
        <v>0.078</v>
      </c>
      <c r="J325" s="6" t="n">
        <v>1</v>
      </c>
      <c r="K325" s="6" t="n">
        <v>1</v>
      </c>
      <c r="L325" s="7" t="n">
        <f aca="false">K325-J325</f>
        <v>0</v>
      </c>
      <c r="M325" s="10" t="n">
        <f aca="false">IF(J325=0,"",K325/J325-1)</f>
        <v>0</v>
      </c>
      <c r="N325" s="17" t="n">
        <f aca="false">K325/D325*10000</f>
        <v>1.34336378291241</v>
      </c>
      <c r="O325" s="7" t="n">
        <f aca="false">IF(K325=0,"none",D325/K325)</f>
        <v>7444</v>
      </c>
      <c r="P325" s="7" t="n">
        <f aca="false">IF(K325=0,"none",E325/K325)</f>
        <v>1303</v>
      </c>
      <c r="Q325" s="16" t="n">
        <v>0.155</v>
      </c>
      <c r="R325" s="16" t="n">
        <v>0.435</v>
      </c>
      <c r="S325" s="16" t="n">
        <v>0.108</v>
      </c>
      <c r="T325" s="6" t="n">
        <v>0</v>
      </c>
    </row>
    <row r="326" customFormat="false" ht="15" hidden="false" customHeight="false" outlineLevel="0" collapsed="false">
      <c r="A326" s="15" t="s">
        <v>750</v>
      </c>
      <c r="B326" s="15" t="s">
        <v>751</v>
      </c>
      <c r="C326" s="15" t="s">
        <v>78</v>
      </c>
      <c r="D326" s="6" t="n">
        <v>11034</v>
      </c>
      <c r="E326" s="6" t="n">
        <v>2678</v>
      </c>
      <c r="F326" s="16" t="n">
        <v>0.243</v>
      </c>
      <c r="G326" s="16" t="n">
        <v>0.072</v>
      </c>
      <c r="H326" s="16" t="n">
        <v>0.205</v>
      </c>
      <c r="I326" s="16" t="n">
        <v>0.085</v>
      </c>
      <c r="J326" s="6" t="n">
        <v>3</v>
      </c>
      <c r="K326" s="6" t="n">
        <v>3</v>
      </c>
      <c r="L326" s="7" t="n">
        <f aca="false">K326-J326</f>
        <v>0</v>
      </c>
      <c r="M326" s="10" t="n">
        <f aca="false">IF(J326=0,"",K326/J326-1)</f>
        <v>0</v>
      </c>
      <c r="N326" s="17" t="n">
        <f aca="false">K326/D326*10000</f>
        <v>2.71886895051659</v>
      </c>
      <c r="O326" s="7" t="n">
        <f aca="false">IF(K326=0,"none",D326/K326)</f>
        <v>3678</v>
      </c>
      <c r="P326" s="7" t="n">
        <f aca="false">IF(K326=0,"none",E326/K326)</f>
        <v>892.666666666667</v>
      </c>
      <c r="Q326" s="16" t="n">
        <v>0.166</v>
      </c>
      <c r="R326" s="16" t="n">
        <v>0.456</v>
      </c>
      <c r="S326" s="16" t="n">
        <v>0.079</v>
      </c>
      <c r="T326" s="6" t="n">
        <v>0</v>
      </c>
    </row>
    <row r="327" customFormat="false" ht="15" hidden="false" customHeight="false" outlineLevel="0" collapsed="false">
      <c r="A327" s="15" t="s">
        <v>752</v>
      </c>
      <c r="B327" s="15" t="s">
        <v>753</v>
      </c>
      <c r="C327" s="15" t="s">
        <v>78</v>
      </c>
      <c r="D327" s="6" t="n">
        <v>32995</v>
      </c>
      <c r="E327" s="6" t="n">
        <v>7785</v>
      </c>
      <c r="F327" s="16" t="n">
        <v>0.236</v>
      </c>
      <c r="G327" s="16" t="n">
        <v>0.067</v>
      </c>
      <c r="H327" s="16" t="n">
        <v>0.312</v>
      </c>
      <c r="I327" s="16" t="n">
        <v>0.071</v>
      </c>
      <c r="J327" s="6" t="n">
        <v>8</v>
      </c>
      <c r="K327" s="6" t="n">
        <v>10</v>
      </c>
      <c r="L327" s="7" t="n">
        <f aca="false">K327-J327</f>
        <v>2</v>
      </c>
      <c r="M327" s="10" t="n">
        <f aca="false">IF(J327=0,"",K327/J327-1)</f>
        <v>0.25</v>
      </c>
      <c r="N327" s="17" t="n">
        <f aca="false">K327/D327*10000</f>
        <v>3.03076223670253</v>
      </c>
      <c r="O327" s="7" t="n">
        <f aca="false">IF(K327=0,"none",D327/K327)</f>
        <v>3299.5</v>
      </c>
      <c r="P327" s="7" t="n">
        <f aca="false">IF(K327=0,"none",E327/K327)</f>
        <v>778.5</v>
      </c>
      <c r="Q327" s="16" t="n">
        <v>0.173</v>
      </c>
      <c r="R327" s="16" t="n">
        <v>0.469</v>
      </c>
      <c r="S327" s="16" t="n">
        <v>0.091</v>
      </c>
      <c r="T327" s="6" t="n">
        <v>0</v>
      </c>
    </row>
    <row r="328" customFormat="false" ht="15" hidden="false" customHeight="false" outlineLevel="0" collapsed="false">
      <c r="A328" s="15" t="s">
        <v>754</v>
      </c>
      <c r="B328" s="15" t="s">
        <v>755</v>
      </c>
      <c r="C328" s="15" t="s">
        <v>78</v>
      </c>
      <c r="D328" s="6" t="n">
        <v>23275</v>
      </c>
      <c r="E328" s="6" t="n">
        <v>5412</v>
      </c>
      <c r="F328" s="16" t="n">
        <v>0.233</v>
      </c>
      <c r="G328" s="16" t="n">
        <v>0.052</v>
      </c>
      <c r="H328" s="16" t="n">
        <v>0.262</v>
      </c>
      <c r="I328" s="16" t="n">
        <v>0.121</v>
      </c>
      <c r="J328" s="6" t="n">
        <v>5</v>
      </c>
      <c r="K328" s="6" t="n">
        <v>5</v>
      </c>
      <c r="L328" s="7" t="n">
        <f aca="false">K328-J328</f>
        <v>0</v>
      </c>
      <c r="M328" s="10" t="n">
        <f aca="false">IF(J328=0,"",K328/J328-1)</f>
        <v>0</v>
      </c>
      <c r="N328" s="17" t="n">
        <f aca="false">K328/D328*10000</f>
        <v>2.14822771213749</v>
      </c>
      <c r="O328" s="7" t="n">
        <f aca="false">IF(K328=0,"none",D328/K328)</f>
        <v>4655</v>
      </c>
      <c r="P328" s="7" t="n">
        <f aca="false">IF(K328=0,"none",E328/K328)</f>
        <v>1082.4</v>
      </c>
      <c r="Q328" s="16" t="n">
        <v>0.169</v>
      </c>
      <c r="R328" s="16" t="n">
        <v>0.46</v>
      </c>
      <c r="S328" s="16" t="n">
        <v>0.08</v>
      </c>
      <c r="T328" s="6" t="n">
        <v>0</v>
      </c>
    </row>
    <row r="329" customFormat="false" ht="15" hidden="false" customHeight="false" outlineLevel="0" collapsed="false">
      <c r="A329" s="15" t="s">
        <v>756</v>
      </c>
      <c r="B329" s="15" t="s">
        <v>757</v>
      </c>
      <c r="C329" s="15" t="s">
        <v>78</v>
      </c>
      <c r="D329" s="6" t="n">
        <v>28907</v>
      </c>
      <c r="E329" s="6" t="n">
        <v>7025</v>
      </c>
      <c r="F329" s="16" t="n">
        <v>0.243</v>
      </c>
      <c r="G329" s="16" t="n">
        <v>0.067</v>
      </c>
      <c r="H329" s="16" t="n">
        <v>0.217</v>
      </c>
      <c r="I329" s="16" t="n">
        <v>0.092</v>
      </c>
      <c r="J329" s="6" t="n">
        <v>11</v>
      </c>
      <c r="K329" s="6" t="n">
        <v>8</v>
      </c>
      <c r="L329" s="7" t="n">
        <f aca="false">K329-J329</f>
        <v>-3</v>
      </c>
      <c r="M329" s="10" t="n">
        <f aca="false">IF(J329=0,"",K329/J329-1)</f>
        <v>-0.272727272727273</v>
      </c>
      <c r="N329" s="17" t="n">
        <f aca="false">K329/D329*10000</f>
        <v>2.76749576227211</v>
      </c>
      <c r="O329" s="7" t="n">
        <f aca="false">IF(K329=0,"none",D329/K329)</f>
        <v>3613.375</v>
      </c>
      <c r="P329" s="7" t="n">
        <f aca="false">IF(K329=0,"none",E329/K329)</f>
        <v>878.125</v>
      </c>
      <c r="Q329" s="16" t="n">
        <v>0.166</v>
      </c>
      <c r="R329" s="16" t="n">
        <v>0.463</v>
      </c>
      <c r="S329" s="16" t="n">
        <v>0.081</v>
      </c>
      <c r="T329" s="6" t="n">
        <v>0</v>
      </c>
    </row>
    <row r="330" customFormat="false" ht="15" hidden="false" customHeight="false" outlineLevel="0" collapsed="false">
      <c r="A330" s="15" t="s">
        <v>758</v>
      </c>
      <c r="B330" s="15" t="s">
        <v>759</v>
      </c>
      <c r="C330" s="15" t="s">
        <v>78</v>
      </c>
      <c r="D330" s="6" t="n">
        <v>14249</v>
      </c>
      <c r="E330" s="6" t="n">
        <v>3280</v>
      </c>
      <c r="F330" s="16" t="n">
        <v>0.23</v>
      </c>
      <c r="G330" s="16" t="n">
        <v>0.083</v>
      </c>
      <c r="H330" s="16" t="n">
        <v>0.313</v>
      </c>
      <c r="I330" s="16" t="n">
        <v>0.052</v>
      </c>
      <c r="J330" s="6" t="n">
        <v>4</v>
      </c>
      <c r="K330" s="6" t="n">
        <v>4</v>
      </c>
      <c r="L330" s="7" t="n">
        <f aca="false">K330-J330</f>
        <v>0</v>
      </c>
      <c r="M330" s="10" t="n">
        <f aca="false">IF(J330=0,"",K330/J330-1)</f>
        <v>0</v>
      </c>
      <c r="N330" s="17" t="n">
        <f aca="false">K330/D330*10000</f>
        <v>2.80721454137132</v>
      </c>
      <c r="O330" s="7" t="n">
        <f aca="false">IF(K330=0,"none",D330/K330)</f>
        <v>3562.25</v>
      </c>
      <c r="P330" s="7" t="n">
        <f aca="false">IF(K330=0,"none",E330/K330)</f>
        <v>820</v>
      </c>
      <c r="Q330" s="16" t="n">
        <v>0.19</v>
      </c>
      <c r="R330" s="16" t="n">
        <v>0.487</v>
      </c>
      <c r="S330" s="16" t="n">
        <v>0.095</v>
      </c>
      <c r="T330" s="6" t="n">
        <v>0</v>
      </c>
    </row>
    <row r="331" customFormat="false" ht="15" hidden="false" customHeight="false" outlineLevel="0" collapsed="false">
      <c r="A331" s="15" t="s">
        <v>760</v>
      </c>
      <c r="B331" s="15" t="s">
        <v>761</v>
      </c>
      <c r="C331" s="15" t="s">
        <v>78</v>
      </c>
      <c r="D331" s="6" t="n">
        <v>65862</v>
      </c>
      <c r="E331" s="6" t="n">
        <v>13069</v>
      </c>
      <c r="F331" s="16" t="n">
        <v>0.198</v>
      </c>
      <c r="G331" s="16" t="n">
        <v>0.088</v>
      </c>
      <c r="H331" s="16" t="n">
        <v>0.244</v>
      </c>
      <c r="I331" s="16" t="n">
        <v>0.07</v>
      </c>
      <c r="J331" s="6" t="n">
        <v>20</v>
      </c>
      <c r="K331" s="6" t="n">
        <v>20</v>
      </c>
      <c r="L331" s="7" t="n">
        <f aca="false">K331-J331</f>
        <v>0</v>
      </c>
      <c r="M331" s="10" t="n">
        <f aca="false">IF(J331=0,"",K331/J331-1)</f>
        <v>0</v>
      </c>
      <c r="N331" s="17" t="n">
        <f aca="false">K331/D331*10000</f>
        <v>3.03665239440041</v>
      </c>
      <c r="O331" s="7" t="n">
        <f aca="false">IF(K331=0,"none",D331/K331)</f>
        <v>3293.1</v>
      </c>
      <c r="P331" s="7" t="n">
        <f aca="false">IF(K331=0,"none",E331/K331)</f>
        <v>653.45</v>
      </c>
      <c r="Q331" s="16" t="n">
        <v>0.156</v>
      </c>
      <c r="R331" s="16" t="n">
        <v>0.43</v>
      </c>
      <c r="S331" s="16" t="n">
        <v>0.083</v>
      </c>
      <c r="T331" s="6" t="n">
        <v>0</v>
      </c>
    </row>
    <row r="332" customFormat="false" ht="15" hidden="false" customHeight="false" outlineLevel="0" collapsed="false">
      <c r="A332" s="15" t="s">
        <v>762</v>
      </c>
      <c r="B332" s="15" t="s">
        <v>763</v>
      </c>
      <c r="C332" s="15" t="s">
        <v>78</v>
      </c>
      <c r="D332" s="6" t="n">
        <v>27868</v>
      </c>
      <c r="E332" s="6" t="n">
        <v>5747</v>
      </c>
      <c r="F332" s="16" t="n">
        <v>0.206</v>
      </c>
      <c r="G332" s="16" t="n">
        <v>0.093</v>
      </c>
      <c r="H332" s="16" t="n">
        <v>0.297</v>
      </c>
      <c r="I332" s="16" t="n">
        <v>0.058</v>
      </c>
      <c r="J332" s="6" t="n">
        <v>5</v>
      </c>
      <c r="K332" s="6" t="n">
        <v>5</v>
      </c>
      <c r="L332" s="7" t="n">
        <f aca="false">K332-J332</f>
        <v>0</v>
      </c>
      <c r="M332" s="10" t="n">
        <f aca="false">IF(J332=0,"",K332/J332-1)</f>
        <v>0</v>
      </c>
      <c r="N332" s="17" t="n">
        <f aca="false">K332/D332*10000</f>
        <v>1.79417252763026</v>
      </c>
      <c r="O332" s="7" t="n">
        <f aca="false">IF(K332=0,"none",D332/K332)</f>
        <v>5573.6</v>
      </c>
      <c r="P332" s="7" t="n">
        <f aca="false">IF(K332=0,"none",E332/K332)</f>
        <v>1149.4</v>
      </c>
      <c r="Q332" s="16" t="n">
        <v>0.172</v>
      </c>
      <c r="R332" s="16" t="n">
        <v>0.465</v>
      </c>
      <c r="S332" s="16" t="n">
        <v>0.086</v>
      </c>
      <c r="T332" s="6" t="n">
        <v>0</v>
      </c>
    </row>
    <row r="333" customFormat="false" ht="15" hidden="false" customHeight="false" outlineLevel="0" collapsed="false">
      <c r="A333" s="15" t="s">
        <v>764</v>
      </c>
      <c r="B333" s="15" t="s">
        <v>302</v>
      </c>
      <c r="C333" s="15" t="s">
        <v>78</v>
      </c>
      <c r="D333" s="6" t="n">
        <v>58043</v>
      </c>
      <c r="E333" s="6" t="n">
        <v>9673</v>
      </c>
      <c r="F333" s="16" t="n">
        <v>0.167</v>
      </c>
      <c r="G333" s="16" t="n">
        <v>0.056</v>
      </c>
      <c r="H333" s="16" t="n">
        <v>0.142</v>
      </c>
      <c r="I333" s="16" t="n">
        <v>0.058</v>
      </c>
      <c r="J333" s="6" t="n">
        <v>12</v>
      </c>
      <c r="K333" s="6" t="n">
        <v>11</v>
      </c>
      <c r="L333" s="7" t="n">
        <f aca="false">K333-J333</f>
        <v>-1</v>
      </c>
      <c r="M333" s="10" t="n">
        <f aca="false">IF(J333=0,"",K333/J333-1)</f>
        <v>-0.0833333333333334</v>
      </c>
      <c r="N333" s="17" t="n">
        <f aca="false">K333/D333*10000</f>
        <v>1.89514670158331</v>
      </c>
      <c r="O333" s="7" t="n">
        <f aca="false">IF(K333=0,"none",D333/K333)</f>
        <v>5276.63636363636</v>
      </c>
      <c r="P333" s="7" t="n">
        <f aca="false">IF(K333=0,"none",E333/K333)</f>
        <v>879.363636363636</v>
      </c>
      <c r="Q333" s="16" t="n">
        <v>0.134</v>
      </c>
      <c r="R333" s="16" t="n">
        <v>0.405</v>
      </c>
      <c r="S333" s="16" t="n">
        <v>0.072</v>
      </c>
      <c r="T333" s="6" t="n">
        <v>1</v>
      </c>
    </row>
    <row r="334" customFormat="false" ht="15" hidden="false" customHeight="false" outlineLevel="0" collapsed="false">
      <c r="A334" s="15" t="s">
        <v>765</v>
      </c>
      <c r="B334" s="15" t="s">
        <v>766</v>
      </c>
      <c r="C334" s="15" t="s">
        <v>78</v>
      </c>
      <c r="D334" s="6" t="n">
        <v>179895</v>
      </c>
      <c r="E334" s="6" t="n">
        <v>38325</v>
      </c>
      <c r="F334" s="16" t="n">
        <v>0.213</v>
      </c>
      <c r="G334" s="16" t="n">
        <v>0.108</v>
      </c>
      <c r="H334" s="16" t="n">
        <v>0.26</v>
      </c>
      <c r="I334" s="16" t="n">
        <v>0.053</v>
      </c>
      <c r="J334" s="6" t="n">
        <v>66</v>
      </c>
      <c r="K334" s="6" t="n">
        <v>56</v>
      </c>
      <c r="L334" s="7" t="n">
        <f aca="false">K334-J334</f>
        <v>-10</v>
      </c>
      <c r="M334" s="10" t="n">
        <f aca="false">IF(J334=0,"",K334/J334-1)</f>
        <v>-0.151515151515152</v>
      </c>
      <c r="N334" s="17" t="n">
        <f aca="false">K334/D334*10000</f>
        <v>3.1129269851858</v>
      </c>
      <c r="O334" s="7" t="n">
        <f aca="false">IF(K334=0,"none",D334/K334)</f>
        <v>3212.41071428571</v>
      </c>
      <c r="P334" s="7" t="n">
        <f aca="false">IF(K334=0,"none",E334/K334)</f>
        <v>684.375</v>
      </c>
      <c r="Q334" s="16" t="n">
        <v>0.156</v>
      </c>
      <c r="R334" s="16" t="n">
        <v>0.462</v>
      </c>
      <c r="S334" s="16" t="n">
        <v>0.085</v>
      </c>
      <c r="T334" s="6" t="n">
        <v>0</v>
      </c>
    </row>
    <row r="335" customFormat="false" ht="15" hidden="false" customHeight="false" outlineLevel="0" collapsed="false">
      <c r="A335" s="15" t="s">
        <v>767</v>
      </c>
      <c r="B335" s="15" t="s">
        <v>306</v>
      </c>
      <c r="C335" s="15" t="s">
        <v>78</v>
      </c>
      <c r="D335" s="6" t="n">
        <v>16920</v>
      </c>
      <c r="E335" s="6" t="n">
        <v>3529</v>
      </c>
      <c r="F335" s="16" t="n">
        <v>0.209</v>
      </c>
      <c r="G335" s="16" t="n">
        <v>0.103</v>
      </c>
      <c r="H335" s="16" t="n">
        <v>0.283</v>
      </c>
      <c r="I335" s="16" t="n">
        <v>0.061</v>
      </c>
      <c r="J335" s="6" t="n">
        <v>3</v>
      </c>
      <c r="K335" s="6" t="n">
        <v>2</v>
      </c>
      <c r="L335" s="7" t="n">
        <f aca="false">K335-J335</f>
        <v>-1</v>
      </c>
      <c r="M335" s="10" t="n">
        <f aca="false">IF(J335=0,"",K335/J335-1)</f>
        <v>-0.333333333333333</v>
      </c>
      <c r="N335" s="17" t="n">
        <f aca="false">K335/D335*10000</f>
        <v>1.18203309692671</v>
      </c>
      <c r="O335" s="7" t="n">
        <f aca="false">IF(K335=0,"none",D335/K335)</f>
        <v>8460</v>
      </c>
      <c r="P335" s="7" t="n">
        <f aca="false">IF(K335=0,"none",E335/K335)</f>
        <v>1764.5</v>
      </c>
      <c r="Q335" s="16" t="n">
        <v>0.169</v>
      </c>
      <c r="R335" s="16" t="n">
        <v>0.442</v>
      </c>
      <c r="S335" s="16" t="n">
        <v>0.091</v>
      </c>
      <c r="T335" s="6" t="n">
        <v>0</v>
      </c>
    </row>
    <row r="336" customFormat="false" ht="15" hidden="false" customHeight="false" outlineLevel="0" collapsed="false">
      <c r="A336" s="15" t="s">
        <v>768</v>
      </c>
      <c r="B336" s="15" t="s">
        <v>769</v>
      </c>
      <c r="C336" s="15" t="s">
        <v>78</v>
      </c>
      <c r="D336" s="6" t="n">
        <v>20410</v>
      </c>
      <c r="E336" s="6" t="n">
        <v>4072</v>
      </c>
      <c r="F336" s="16" t="n">
        <v>0.2</v>
      </c>
      <c r="G336" s="16" t="n">
        <v>0.09</v>
      </c>
      <c r="H336" s="16" t="n">
        <v>0.345</v>
      </c>
      <c r="I336" s="16" t="n">
        <v>0.045</v>
      </c>
      <c r="J336" s="6" t="n">
        <v>6</v>
      </c>
      <c r="K336" s="6" t="n">
        <v>4</v>
      </c>
      <c r="L336" s="7" t="n">
        <f aca="false">K336-J336</f>
        <v>-2</v>
      </c>
      <c r="M336" s="10" t="n">
        <f aca="false">IF(J336=0,"",K336/J336-1)</f>
        <v>-0.333333333333333</v>
      </c>
      <c r="N336" s="17" t="n">
        <f aca="false">K336/D336*10000</f>
        <v>1.95982361587457</v>
      </c>
      <c r="O336" s="7" t="n">
        <f aca="false">IF(K336=0,"none",D336/K336)</f>
        <v>5102.5</v>
      </c>
      <c r="P336" s="7" t="n">
        <f aca="false">IF(K336=0,"none",E336/K336)</f>
        <v>1018</v>
      </c>
      <c r="Q336" s="16" t="n">
        <v>0.185</v>
      </c>
      <c r="R336" s="16" t="n">
        <v>0.472</v>
      </c>
      <c r="S336" s="16" t="n">
        <v>0.107</v>
      </c>
      <c r="T336" s="6" t="n">
        <v>0</v>
      </c>
    </row>
    <row r="337" customFormat="false" ht="15" hidden="false" customHeight="false" outlineLevel="0" collapsed="false">
      <c r="A337" s="15" t="s">
        <v>770</v>
      </c>
      <c r="B337" s="15" t="s">
        <v>771</v>
      </c>
      <c r="C337" s="15" t="s">
        <v>78</v>
      </c>
      <c r="D337" s="6" t="n">
        <v>32350</v>
      </c>
      <c r="E337" s="6" t="n">
        <v>6981</v>
      </c>
      <c r="F337" s="16" t="n">
        <v>0.216</v>
      </c>
      <c r="G337" s="16" t="n">
        <v>0.098</v>
      </c>
      <c r="H337" s="16" t="n">
        <v>0.402</v>
      </c>
      <c r="I337" s="16" t="n">
        <v>0.073</v>
      </c>
      <c r="J337" s="6" t="n">
        <v>15</v>
      </c>
      <c r="K337" s="6" t="n">
        <v>15</v>
      </c>
      <c r="L337" s="7" t="n">
        <f aca="false">K337-J337</f>
        <v>0</v>
      </c>
      <c r="M337" s="10" t="n">
        <f aca="false">IF(J337=0,"",K337/J337-1)</f>
        <v>0</v>
      </c>
      <c r="N337" s="17" t="n">
        <f aca="false">K337/D337*10000</f>
        <v>4.63678516228748</v>
      </c>
      <c r="O337" s="7" t="n">
        <f aca="false">IF(K337=0,"none",D337/K337)</f>
        <v>2156.66666666667</v>
      </c>
      <c r="P337" s="7" t="n">
        <f aca="false">IF(K337=0,"none",E337/K337)</f>
        <v>465.4</v>
      </c>
      <c r="Q337" s="16" t="n">
        <v>0.182</v>
      </c>
      <c r="R337" s="16" t="n">
        <v>0.478</v>
      </c>
      <c r="S337" s="16" t="n">
        <v>0.108</v>
      </c>
      <c r="T337" s="6" t="n">
        <v>0</v>
      </c>
    </row>
    <row r="338" customFormat="false" ht="15" hidden="false" customHeight="false" outlineLevel="0" collapsed="false">
      <c r="A338" s="15" t="s">
        <v>772</v>
      </c>
      <c r="B338" s="15" t="s">
        <v>773</v>
      </c>
      <c r="C338" s="15" t="s">
        <v>78</v>
      </c>
      <c r="D338" s="6" t="n">
        <v>56194</v>
      </c>
      <c r="E338" s="6" t="n">
        <v>11073</v>
      </c>
      <c r="F338" s="16" t="n">
        <v>0.197</v>
      </c>
      <c r="G338" s="16" t="n">
        <v>0.08</v>
      </c>
      <c r="H338" s="16" t="n">
        <v>0.256</v>
      </c>
      <c r="I338" s="16" t="n">
        <v>0.072</v>
      </c>
      <c r="J338" s="6" t="n">
        <v>15</v>
      </c>
      <c r="K338" s="6" t="n">
        <v>15</v>
      </c>
      <c r="L338" s="7" t="n">
        <f aca="false">K338-J338</f>
        <v>0</v>
      </c>
      <c r="M338" s="10" t="n">
        <f aca="false">IF(J338=0,"",K338/J338-1)</f>
        <v>0</v>
      </c>
      <c r="N338" s="17" t="n">
        <f aca="false">K338/D338*10000</f>
        <v>2.66932412713101</v>
      </c>
      <c r="O338" s="7" t="n">
        <f aca="false">IF(K338=0,"none",D338/K338)</f>
        <v>3746.26666666667</v>
      </c>
      <c r="P338" s="7" t="n">
        <f aca="false">IF(K338=0,"none",E338/K338)</f>
        <v>738.2</v>
      </c>
      <c r="Q338" s="16" t="n">
        <v>0.147</v>
      </c>
      <c r="R338" s="16" t="n">
        <v>0.419</v>
      </c>
      <c r="S338" s="16" t="n">
        <v>0.083</v>
      </c>
      <c r="T338" s="6" t="n">
        <v>0</v>
      </c>
    </row>
    <row r="339" customFormat="false" ht="15" hidden="false" customHeight="false" outlineLevel="0" collapsed="false">
      <c r="A339" s="15" t="s">
        <v>774</v>
      </c>
      <c r="B339" s="15" t="s">
        <v>775</v>
      </c>
      <c r="C339" s="15" t="s">
        <v>78</v>
      </c>
      <c r="D339" s="6" t="n">
        <v>30509</v>
      </c>
      <c r="E339" s="6" t="n">
        <v>6971</v>
      </c>
      <c r="F339" s="16" t="n">
        <v>0.228</v>
      </c>
      <c r="G339" s="16" t="n">
        <v>0.066</v>
      </c>
      <c r="H339" s="16" t="n">
        <v>0.245</v>
      </c>
      <c r="I339" s="16" t="n">
        <v>0.064</v>
      </c>
      <c r="J339" s="6" t="n">
        <v>7</v>
      </c>
      <c r="K339" s="6" t="n">
        <v>5</v>
      </c>
      <c r="L339" s="7" t="n">
        <f aca="false">K339-J339</f>
        <v>-2</v>
      </c>
      <c r="M339" s="10" t="n">
        <f aca="false">IF(J339=0,"",K339/J339-1)</f>
        <v>-0.285714285714286</v>
      </c>
      <c r="N339" s="17" t="n">
        <f aca="false">K339/D339*10000</f>
        <v>1.63886066406634</v>
      </c>
      <c r="O339" s="7" t="n">
        <f aca="false">IF(K339=0,"none",D339/K339)</f>
        <v>6101.8</v>
      </c>
      <c r="P339" s="7" t="n">
        <f aca="false">IF(K339=0,"none",E339/K339)</f>
        <v>1394.2</v>
      </c>
      <c r="Q339" s="16" t="n">
        <v>0.164</v>
      </c>
      <c r="R339" s="16" t="n">
        <v>0.457</v>
      </c>
      <c r="S339" s="16" t="n">
        <v>0.082</v>
      </c>
      <c r="T339" s="6" t="n">
        <v>0</v>
      </c>
    </row>
    <row r="340" customFormat="false" ht="15" hidden="false" customHeight="false" outlineLevel="0" collapsed="false">
      <c r="A340" s="15" t="s">
        <v>776</v>
      </c>
      <c r="B340" s="15" t="s">
        <v>777</v>
      </c>
      <c r="C340" s="15" t="s">
        <v>78</v>
      </c>
      <c r="D340" s="6" t="n">
        <v>25488</v>
      </c>
      <c r="E340" s="6" t="n">
        <v>5520</v>
      </c>
      <c r="F340" s="16" t="n">
        <v>0.217</v>
      </c>
      <c r="G340" s="16" t="n">
        <v>0.071</v>
      </c>
      <c r="H340" s="16" t="n">
        <v>0.273</v>
      </c>
      <c r="I340" s="16" t="n">
        <v>0.064</v>
      </c>
      <c r="J340" s="6" t="n">
        <v>6</v>
      </c>
      <c r="K340" s="6" t="n">
        <v>4</v>
      </c>
      <c r="L340" s="7" t="n">
        <f aca="false">K340-J340</f>
        <v>-2</v>
      </c>
      <c r="M340" s="10" t="n">
        <f aca="false">IF(J340=0,"",K340/J340-1)</f>
        <v>-0.333333333333333</v>
      </c>
      <c r="N340" s="17" t="n">
        <f aca="false">K340/D340*10000</f>
        <v>1.56936597614564</v>
      </c>
      <c r="O340" s="7" t="n">
        <f aca="false">IF(K340=0,"none",D340/K340)</f>
        <v>6372</v>
      </c>
      <c r="P340" s="7" t="n">
        <f aca="false">IF(K340=0,"none",E340/K340)</f>
        <v>1380</v>
      </c>
      <c r="Q340" s="16" t="n">
        <v>0.17</v>
      </c>
      <c r="R340" s="16" t="n">
        <v>0.458</v>
      </c>
      <c r="S340" s="16" t="n">
        <v>0.094</v>
      </c>
      <c r="T340" s="6" t="n">
        <v>0</v>
      </c>
    </row>
    <row r="341" customFormat="false" ht="15" hidden="false" customHeight="false" outlineLevel="0" collapsed="false">
      <c r="A341" s="15" t="s">
        <v>778</v>
      </c>
      <c r="B341" s="15" t="s">
        <v>779</v>
      </c>
      <c r="C341" s="15" t="s">
        <v>78</v>
      </c>
      <c r="D341" s="6" t="n">
        <v>18911</v>
      </c>
      <c r="E341" s="6" t="n">
        <v>4375</v>
      </c>
      <c r="F341" s="16" t="n">
        <v>0.231</v>
      </c>
      <c r="G341" s="16" t="n">
        <v>0.099</v>
      </c>
      <c r="H341" s="16" t="n">
        <v>0.457</v>
      </c>
      <c r="I341" s="16" t="n">
        <v>0.072</v>
      </c>
      <c r="J341" s="6" t="n">
        <v>9</v>
      </c>
      <c r="K341" s="6" t="n">
        <v>6</v>
      </c>
      <c r="L341" s="7" t="n">
        <f aca="false">K341-J341</f>
        <v>-3</v>
      </c>
      <c r="M341" s="10" t="n">
        <f aca="false">IF(J341=0,"",K341/J341-1)</f>
        <v>-0.333333333333333</v>
      </c>
      <c r="N341" s="17" t="n">
        <f aca="false">K341/D341*10000</f>
        <v>3.17275659668976</v>
      </c>
      <c r="O341" s="7" t="n">
        <f aca="false">IF(K341=0,"none",D341/K341)</f>
        <v>3151.83333333333</v>
      </c>
      <c r="P341" s="7" t="n">
        <f aca="false">IF(K341=0,"none",E341/K341)</f>
        <v>729.166666666667</v>
      </c>
      <c r="Q341" s="16" t="n">
        <v>0.216</v>
      </c>
      <c r="R341" s="16" t="n">
        <v>0.51</v>
      </c>
      <c r="S341" s="16" t="n">
        <v>0.144</v>
      </c>
      <c r="T341" s="6" t="n">
        <v>0</v>
      </c>
    </row>
    <row r="342" customFormat="false" ht="15" hidden="false" customHeight="false" outlineLevel="0" collapsed="false">
      <c r="A342" s="15" t="s">
        <v>780</v>
      </c>
      <c r="B342" s="15" t="s">
        <v>241</v>
      </c>
      <c r="C342" s="15" t="s">
        <v>78</v>
      </c>
      <c r="D342" s="6" t="n">
        <v>59530</v>
      </c>
      <c r="E342" s="6" t="n">
        <v>13288</v>
      </c>
      <c r="F342" s="16" t="n">
        <v>0.223</v>
      </c>
      <c r="G342" s="16" t="n">
        <v>0.083</v>
      </c>
      <c r="H342" s="16" t="n">
        <v>0.324</v>
      </c>
      <c r="I342" s="16" t="n">
        <v>0.064</v>
      </c>
      <c r="J342" s="6" t="n">
        <v>19</v>
      </c>
      <c r="K342" s="6" t="n">
        <v>14</v>
      </c>
      <c r="L342" s="7" t="n">
        <f aca="false">K342-J342</f>
        <v>-5</v>
      </c>
      <c r="M342" s="10" t="n">
        <f aca="false">IF(J342=0,"",K342/J342-1)</f>
        <v>-0.263157894736842</v>
      </c>
      <c r="N342" s="17" t="n">
        <f aca="false">K342/D342*10000</f>
        <v>2.35175541743659</v>
      </c>
      <c r="O342" s="7" t="n">
        <f aca="false">IF(K342=0,"none",D342/K342)</f>
        <v>4252.14285714286</v>
      </c>
      <c r="P342" s="7" t="n">
        <f aca="false">IF(K342=0,"none",E342/K342)</f>
        <v>949.142857142857</v>
      </c>
      <c r="Q342" s="16" t="n">
        <v>0.172</v>
      </c>
      <c r="R342" s="16" t="n">
        <v>0.453</v>
      </c>
      <c r="S342" s="16" t="n">
        <v>0.097</v>
      </c>
      <c r="T342" s="6" t="n">
        <v>0</v>
      </c>
    </row>
    <row r="343" customFormat="false" ht="15" hidden="false" customHeight="false" outlineLevel="0" collapsed="false">
      <c r="A343" s="15" t="s">
        <v>781</v>
      </c>
      <c r="B343" s="15" t="s">
        <v>782</v>
      </c>
      <c r="C343" s="15" t="s">
        <v>78</v>
      </c>
      <c r="D343" s="6" t="n">
        <v>26957</v>
      </c>
      <c r="E343" s="6" t="n">
        <v>5977</v>
      </c>
      <c r="F343" s="16" t="n">
        <v>0.222</v>
      </c>
      <c r="G343" s="16" t="n">
        <v>0.06</v>
      </c>
      <c r="H343" s="16" t="n">
        <v>0.207</v>
      </c>
      <c r="I343" s="16" t="n">
        <v>0.054</v>
      </c>
      <c r="J343" s="6" t="n">
        <v>7</v>
      </c>
      <c r="K343" s="6" t="n">
        <v>5</v>
      </c>
      <c r="L343" s="7" t="n">
        <f aca="false">K343-J343</f>
        <v>-2</v>
      </c>
      <c r="M343" s="10" t="n">
        <f aca="false">IF(J343=0,"",K343/J343-1)</f>
        <v>-0.285714285714286</v>
      </c>
      <c r="N343" s="17" t="n">
        <f aca="false">K343/D343*10000</f>
        <v>1.85480580183255</v>
      </c>
      <c r="O343" s="7" t="n">
        <f aca="false">IF(K343=0,"none",D343/K343)</f>
        <v>5391.4</v>
      </c>
      <c r="P343" s="7" t="n">
        <f aca="false">IF(K343=0,"none",E343/K343)</f>
        <v>1195.4</v>
      </c>
      <c r="Q343" s="16" t="n">
        <v>0.152</v>
      </c>
      <c r="R343" s="16" t="n">
        <v>0.43</v>
      </c>
      <c r="S343" s="16" t="n">
        <v>0.075</v>
      </c>
      <c r="T343" s="6" t="n">
        <v>0</v>
      </c>
    </row>
    <row r="344" customFormat="false" ht="15" hidden="false" customHeight="false" outlineLevel="0" collapsed="false">
      <c r="A344" s="15" t="s">
        <v>783</v>
      </c>
      <c r="B344" s="15" t="s">
        <v>784</v>
      </c>
      <c r="C344" s="15" t="s">
        <v>78</v>
      </c>
      <c r="D344" s="6" t="n">
        <v>23466</v>
      </c>
      <c r="E344" s="6" t="n">
        <v>4868</v>
      </c>
      <c r="F344" s="16" t="n">
        <v>0.207</v>
      </c>
      <c r="G344" s="16" t="n">
        <v>0.118</v>
      </c>
      <c r="H344" s="16" t="n">
        <v>0.41</v>
      </c>
      <c r="I344" s="16" t="n">
        <v>0.071</v>
      </c>
      <c r="J344" s="6" t="n">
        <v>7</v>
      </c>
      <c r="K344" s="6" t="n">
        <v>8</v>
      </c>
      <c r="L344" s="7" t="n">
        <f aca="false">K344-J344</f>
        <v>1</v>
      </c>
      <c r="M344" s="10" t="n">
        <f aca="false">IF(J344=0,"",K344/J344-1)</f>
        <v>0.142857142857143</v>
      </c>
      <c r="N344" s="17" t="n">
        <f aca="false">K344/D344*10000</f>
        <v>3.40918776101594</v>
      </c>
      <c r="O344" s="7" t="n">
        <f aca="false">IF(K344=0,"none",D344/K344)</f>
        <v>2933.25</v>
      </c>
      <c r="P344" s="7" t="n">
        <f aca="false">IF(K344=0,"none",E344/K344)</f>
        <v>608.5</v>
      </c>
      <c r="Q344" s="16" t="n">
        <v>0.204</v>
      </c>
      <c r="R344" s="16" t="n">
        <v>0.501</v>
      </c>
      <c r="S344" s="16" t="n">
        <v>0.126</v>
      </c>
      <c r="T344" s="6" t="n">
        <v>0</v>
      </c>
    </row>
    <row r="345" customFormat="false" ht="15" hidden="false" customHeight="false" outlineLevel="0" collapsed="false">
      <c r="A345" s="15" t="s">
        <v>785</v>
      </c>
      <c r="B345" s="15" t="s">
        <v>786</v>
      </c>
      <c r="C345" s="15" t="s">
        <v>78</v>
      </c>
      <c r="D345" s="6" t="n">
        <v>105988</v>
      </c>
      <c r="E345" s="6" t="n">
        <v>13713</v>
      </c>
      <c r="F345" s="16" t="n">
        <v>0.129</v>
      </c>
      <c r="G345" s="16" t="n">
        <v>0.071</v>
      </c>
      <c r="H345" s="16" t="n">
        <v>0.274</v>
      </c>
      <c r="I345" s="16" t="n">
        <v>0.053</v>
      </c>
      <c r="J345" s="6" t="n">
        <v>23</v>
      </c>
      <c r="K345" s="6" t="n">
        <v>23</v>
      </c>
      <c r="L345" s="7" t="n">
        <f aca="false">K345-J345</f>
        <v>0</v>
      </c>
      <c r="M345" s="10" t="n">
        <f aca="false">IF(J345=0,"",K345/J345-1)</f>
        <v>0</v>
      </c>
      <c r="N345" s="17" t="n">
        <f aca="false">K345/D345*10000</f>
        <v>2.1700569875835</v>
      </c>
      <c r="O345" s="7" t="n">
        <f aca="false">IF(K345=0,"none",D345/K345)</f>
        <v>4608.17391304348</v>
      </c>
      <c r="P345" s="7" t="n">
        <f aca="false">IF(K345=0,"none",E345/K345)</f>
        <v>596.217391304348</v>
      </c>
      <c r="Q345" s="16" t="n">
        <v>0.108</v>
      </c>
      <c r="R345" s="16" t="n">
        <v>0.319</v>
      </c>
      <c r="S345" s="16" t="n">
        <v>0.083</v>
      </c>
      <c r="T345" s="6" t="n">
        <v>0</v>
      </c>
    </row>
    <row r="346" customFormat="false" ht="15" hidden="false" customHeight="false" outlineLevel="0" collapsed="false">
      <c r="A346" s="15" t="s">
        <v>787</v>
      </c>
      <c r="B346" s="15" t="s">
        <v>312</v>
      </c>
      <c r="C346" s="15" t="s">
        <v>78</v>
      </c>
      <c r="D346" s="6" t="n">
        <v>12438</v>
      </c>
      <c r="E346" s="6" t="n">
        <v>3054</v>
      </c>
      <c r="F346" s="16" t="n">
        <v>0.246</v>
      </c>
      <c r="G346" s="16" t="n">
        <v>0.065</v>
      </c>
      <c r="H346" s="16" t="n">
        <v>0.225</v>
      </c>
      <c r="I346" s="16" t="n">
        <v>0.111</v>
      </c>
      <c r="J346" s="6" t="n">
        <v>0</v>
      </c>
      <c r="K346" s="6" t="n">
        <v>0</v>
      </c>
      <c r="L346" s="7" t="n">
        <f aca="false">K346-J346</f>
        <v>0</v>
      </c>
      <c r="M346" s="10" t="str">
        <f aca="false">IF(J346=0,"",K346/J346-1)</f>
        <v/>
      </c>
      <c r="N346" s="17" t="n">
        <f aca="false">K346/D346*10000</f>
        <v>0</v>
      </c>
      <c r="O346" s="7" t="str">
        <f aca="false">IF(K346=0,"none",D346/K346)</f>
        <v>none</v>
      </c>
      <c r="P346" s="7" t="str">
        <f aca="false">IF(K346=0,"none",E346/K346)</f>
        <v>none</v>
      </c>
      <c r="Q346" s="16" t="n">
        <v>0.179</v>
      </c>
      <c r="R346" s="16" t="n">
        <v>0.477</v>
      </c>
      <c r="S346" s="16" t="n">
        <v>0.087</v>
      </c>
      <c r="T346" s="6" t="n">
        <v>0</v>
      </c>
    </row>
    <row r="347" customFormat="false" ht="15" hidden="false" customHeight="false" outlineLevel="0" collapsed="false">
      <c r="A347" s="15" t="s">
        <v>788</v>
      </c>
      <c r="B347" s="15" t="s">
        <v>789</v>
      </c>
      <c r="C347" s="15" t="s">
        <v>78</v>
      </c>
      <c r="D347" s="6" t="n">
        <v>17237</v>
      </c>
      <c r="E347" s="6" t="n">
        <v>4158</v>
      </c>
      <c r="F347" s="16" t="n">
        <v>0.241</v>
      </c>
      <c r="G347" s="16" t="n">
        <v>0.043</v>
      </c>
      <c r="H347" s="16" t="n">
        <v>0.203</v>
      </c>
      <c r="I347" s="16" t="n">
        <v>0.073</v>
      </c>
      <c r="J347" s="6" t="n">
        <v>3</v>
      </c>
      <c r="K347" s="6" t="n">
        <v>3</v>
      </c>
      <c r="L347" s="7" t="n">
        <f aca="false">K347-J347</f>
        <v>0</v>
      </c>
      <c r="M347" s="10" t="n">
        <f aca="false">IF(J347=0,"",K347/J347-1)</f>
        <v>0</v>
      </c>
      <c r="N347" s="17" t="n">
        <f aca="false">K347/D347*10000</f>
        <v>1.74044207228636</v>
      </c>
      <c r="O347" s="7" t="n">
        <f aca="false">IF(K347=0,"none",D347/K347)</f>
        <v>5745.66666666667</v>
      </c>
      <c r="P347" s="7" t="n">
        <f aca="false">IF(K347=0,"none",E347/K347)</f>
        <v>1386</v>
      </c>
      <c r="Q347" s="16" t="n">
        <v>0.168</v>
      </c>
      <c r="R347" s="16" t="n">
        <v>0.467</v>
      </c>
      <c r="S347" s="16" t="n">
        <v>0.079</v>
      </c>
      <c r="T347" s="6" t="n">
        <v>0</v>
      </c>
    </row>
    <row r="348" customFormat="false" ht="15" hidden="false" customHeight="false" outlineLevel="0" collapsed="false">
      <c r="A348" s="15" t="s">
        <v>790</v>
      </c>
      <c r="B348" s="15" t="s">
        <v>791</v>
      </c>
      <c r="C348" s="15" t="s">
        <v>78</v>
      </c>
      <c r="D348" s="6" t="n">
        <v>24624</v>
      </c>
      <c r="E348" s="6" t="n">
        <v>5604</v>
      </c>
      <c r="F348" s="16" t="n">
        <v>0.228</v>
      </c>
      <c r="G348" s="16" t="n">
        <v>0.066</v>
      </c>
      <c r="H348" s="16" t="n">
        <v>0.256</v>
      </c>
      <c r="I348" s="16" t="n">
        <v>0.054</v>
      </c>
      <c r="J348" s="6" t="n">
        <v>12</v>
      </c>
      <c r="K348" s="6" t="n">
        <v>11</v>
      </c>
      <c r="L348" s="7" t="n">
        <f aca="false">K348-J348</f>
        <v>-1</v>
      </c>
      <c r="M348" s="10" t="n">
        <f aca="false">IF(J348=0,"",K348/J348-1)</f>
        <v>-0.0833333333333334</v>
      </c>
      <c r="N348" s="17" t="n">
        <f aca="false">K348/D348*10000</f>
        <v>4.46718648473034</v>
      </c>
      <c r="O348" s="7" t="n">
        <f aca="false">IF(K348=0,"none",D348/K348)</f>
        <v>2238.54545454545</v>
      </c>
      <c r="P348" s="7" t="n">
        <f aca="false">IF(K348=0,"none",E348/K348)</f>
        <v>509.454545454545</v>
      </c>
      <c r="Q348" s="16" t="n">
        <v>0.168</v>
      </c>
      <c r="R348" s="16" t="n">
        <v>0.466</v>
      </c>
      <c r="S348" s="16" t="n">
        <v>0.086</v>
      </c>
      <c r="T348" s="6" t="n">
        <v>0</v>
      </c>
    </row>
    <row r="349" customFormat="false" ht="15" hidden="false" customHeight="false" outlineLevel="0" collapsed="false">
      <c r="A349" s="15" t="s">
        <v>792</v>
      </c>
      <c r="B349" s="15" t="s">
        <v>793</v>
      </c>
      <c r="C349" s="15" t="s">
        <v>78</v>
      </c>
      <c r="D349" s="6" t="n">
        <v>42224</v>
      </c>
      <c r="E349" s="6" t="n">
        <v>9432</v>
      </c>
      <c r="F349" s="16" t="n">
        <v>0.223</v>
      </c>
      <c r="G349" s="16" t="n">
        <v>0.12</v>
      </c>
      <c r="H349" s="16" t="n">
        <v>0.244</v>
      </c>
      <c r="I349" s="16" t="n">
        <v>0.046</v>
      </c>
      <c r="J349" s="6" t="n">
        <v>9</v>
      </c>
      <c r="K349" s="6" t="n">
        <v>11</v>
      </c>
      <c r="L349" s="7" t="n">
        <f aca="false">K349-J349</f>
        <v>2</v>
      </c>
      <c r="M349" s="10" t="n">
        <f aca="false">IF(J349=0,"",K349/J349-1)</f>
        <v>0.222222222222222</v>
      </c>
      <c r="N349" s="17" t="n">
        <f aca="false">K349/D349*10000</f>
        <v>2.60515346722243</v>
      </c>
      <c r="O349" s="7" t="n">
        <f aca="false">IF(K349=0,"none",D349/K349)</f>
        <v>3838.54545454545</v>
      </c>
      <c r="P349" s="7" t="n">
        <f aca="false">IF(K349=0,"none",E349/K349)</f>
        <v>857.454545454546</v>
      </c>
      <c r="Q349" s="16" t="n">
        <v>0.15</v>
      </c>
      <c r="R349" s="16" t="n">
        <v>0.425</v>
      </c>
      <c r="S349" s="16" t="n">
        <v>0.077</v>
      </c>
      <c r="T349" s="6" t="n">
        <v>0</v>
      </c>
    </row>
    <row r="350" customFormat="false" ht="15" hidden="false" customHeight="false" outlineLevel="0" collapsed="false">
      <c r="A350" s="15" t="s">
        <v>794</v>
      </c>
      <c r="B350" s="15" t="s">
        <v>795</v>
      </c>
      <c r="C350" s="15" t="s">
        <v>78</v>
      </c>
      <c r="D350" s="6" t="n">
        <v>6156</v>
      </c>
      <c r="E350" s="6" t="n">
        <v>1742</v>
      </c>
      <c r="F350" s="16" t="n">
        <v>0.283</v>
      </c>
      <c r="G350" s="16" t="n">
        <v>0.044</v>
      </c>
      <c r="H350" s="16" t="n">
        <v>0.254</v>
      </c>
      <c r="I350" s="16" t="n">
        <v>0.071</v>
      </c>
      <c r="J350" s="6" t="n">
        <v>3</v>
      </c>
      <c r="K350" s="6" t="n">
        <v>1</v>
      </c>
      <c r="L350" s="7" t="n">
        <f aca="false">K350-J350</f>
        <v>-2</v>
      </c>
      <c r="M350" s="10" t="n">
        <f aca="false">IF(J350=0,"",K350/J350-1)</f>
        <v>-0.666666666666667</v>
      </c>
      <c r="N350" s="17" t="n">
        <f aca="false">K350/D350*10000</f>
        <v>1.62443144899285</v>
      </c>
      <c r="O350" s="7" t="n">
        <f aca="false">IF(K350=0,"none",D350/K350)</f>
        <v>6156</v>
      </c>
      <c r="P350" s="7" t="n">
        <f aca="false">IF(K350=0,"none",E350/K350)</f>
        <v>1742</v>
      </c>
      <c r="Q350" s="16" t="n">
        <v>0.182</v>
      </c>
      <c r="R350" s="16" t="n">
        <v>0.484</v>
      </c>
      <c r="S350" s="16" t="n">
        <v>0.081</v>
      </c>
      <c r="T350" s="6" t="n">
        <v>0</v>
      </c>
    </row>
    <row r="351" customFormat="false" ht="15" hidden="false" customHeight="false" outlineLevel="0" collapsed="false">
      <c r="A351" s="15" t="s">
        <v>796</v>
      </c>
      <c r="B351" s="15" t="s">
        <v>797</v>
      </c>
      <c r="C351" s="15" t="s">
        <v>78</v>
      </c>
      <c r="D351" s="6" t="n">
        <v>7622</v>
      </c>
      <c r="E351" s="6" t="n">
        <v>1405</v>
      </c>
      <c r="F351" s="16" t="n">
        <v>0.184</v>
      </c>
      <c r="G351" s="16" t="n">
        <v>0.044</v>
      </c>
      <c r="H351" s="16" t="n">
        <v>0.183</v>
      </c>
      <c r="I351" s="16" t="n">
        <v>0.091</v>
      </c>
      <c r="J351" s="6" t="n">
        <v>3</v>
      </c>
      <c r="K351" s="6" t="n">
        <v>3</v>
      </c>
      <c r="L351" s="7" t="n">
        <f aca="false">K351-J351</f>
        <v>0</v>
      </c>
      <c r="M351" s="10" t="n">
        <f aca="false">IF(J351=0,"",K351/J351-1)</f>
        <v>0</v>
      </c>
      <c r="N351" s="17" t="n">
        <f aca="false">K351/D351*10000</f>
        <v>3.93597480976122</v>
      </c>
      <c r="O351" s="7" t="n">
        <f aca="false">IF(K351=0,"none",D351/K351)</f>
        <v>2540.66666666667</v>
      </c>
      <c r="P351" s="7" t="n">
        <f aca="false">IF(K351=0,"none",E351/K351)</f>
        <v>468.333333333333</v>
      </c>
      <c r="Q351" s="16" t="n">
        <v>0.149</v>
      </c>
      <c r="R351" s="16" t="n">
        <v>0.435</v>
      </c>
      <c r="S351" s="16" t="n">
        <v>0.082</v>
      </c>
      <c r="T351" s="6" t="n">
        <v>0</v>
      </c>
    </row>
    <row r="352" customFormat="false" ht="15" hidden="false" customHeight="false" outlineLevel="0" collapsed="false">
      <c r="A352" s="15" t="s">
        <v>798</v>
      </c>
      <c r="B352" s="15" t="s">
        <v>799</v>
      </c>
      <c r="C352" s="15" t="s">
        <v>78</v>
      </c>
      <c r="D352" s="6" t="n">
        <v>7940</v>
      </c>
      <c r="E352" s="6" t="n">
        <v>2094</v>
      </c>
      <c r="F352" s="16" t="n">
        <v>0.264</v>
      </c>
      <c r="G352" s="16" t="n">
        <v>0.072</v>
      </c>
      <c r="H352" s="16" t="n">
        <v>0.314</v>
      </c>
      <c r="I352" s="16" t="n">
        <v>0.054</v>
      </c>
      <c r="J352" s="6" t="n">
        <v>2</v>
      </c>
      <c r="K352" s="6" t="n">
        <v>0</v>
      </c>
      <c r="L352" s="7" t="n">
        <f aca="false">K352-J352</f>
        <v>-2</v>
      </c>
      <c r="M352" s="10" t="n">
        <f aca="false">IF(J352=0,"",K352/J352-1)</f>
        <v>-1</v>
      </c>
      <c r="N352" s="17" t="n">
        <f aca="false">K352/D352*10000</f>
        <v>0</v>
      </c>
      <c r="O352" s="7" t="str">
        <f aca="false">IF(K352=0,"none",D352/K352)</f>
        <v>none</v>
      </c>
      <c r="P352" s="7" t="str">
        <f aca="false">IF(K352=0,"none",E352/K352)</f>
        <v>none</v>
      </c>
      <c r="Q352" s="16" t="n">
        <v>0.192</v>
      </c>
      <c r="R352" s="16" t="n">
        <v>0.499</v>
      </c>
      <c r="S352" s="16" t="n">
        <v>0.095</v>
      </c>
      <c r="T352" s="6" t="n">
        <v>0</v>
      </c>
    </row>
    <row r="353" customFormat="false" ht="15" hidden="false" customHeight="false" outlineLevel="0" collapsed="false">
      <c r="A353" s="15" t="s">
        <v>800</v>
      </c>
      <c r="B353" s="15" t="s">
        <v>801</v>
      </c>
      <c r="C353" s="15" t="s">
        <v>78</v>
      </c>
      <c r="D353" s="6" t="n">
        <v>34206</v>
      </c>
      <c r="E353" s="6" t="n">
        <v>6803</v>
      </c>
      <c r="F353" s="16" t="n">
        <v>0.199</v>
      </c>
      <c r="G353" s="16" t="n">
        <v>0.064</v>
      </c>
      <c r="H353" s="16" t="n">
        <v>0.22</v>
      </c>
      <c r="I353" s="16" t="n">
        <v>0.066</v>
      </c>
      <c r="J353" s="6" t="n">
        <v>7</v>
      </c>
      <c r="K353" s="6" t="n">
        <v>6</v>
      </c>
      <c r="L353" s="7" t="n">
        <f aca="false">K353-J353</f>
        <v>-1</v>
      </c>
      <c r="M353" s="10" t="n">
        <f aca="false">IF(J353=0,"",K353/J353-1)</f>
        <v>-0.142857142857143</v>
      </c>
      <c r="N353" s="17" t="n">
        <f aca="false">K353/D353*10000</f>
        <v>1.75407823188914</v>
      </c>
      <c r="O353" s="7" t="n">
        <f aca="false">IF(K353=0,"none",D353/K353)</f>
        <v>5701</v>
      </c>
      <c r="P353" s="7" t="n">
        <f aca="false">IF(K353=0,"none",E353/K353)</f>
        <v>1133.83333333333</v>
      </c>
      <c r="Q353" s="16" t="n">
        <v>0.153</v>
      </c>
      <c r="R353" s="16" t="n">
        <v>0.431</v>
      </c>
      <c r="S353" s="16" t="n">
        <v>0.086</v>
      </c>
      <c r="T353" s="6" t="n">
        <v>0</v>
      </c>
    </row>
    <row r="354" customFormat="false" ht="15" hidden="false" customHeight="false" outlineLevel="0" collapsed="false">
      <c r="A354" s="15" t="s">
        <v>802</v>
      </c>
      <c r="B354" s="15" t="s">
        <v>334</v>
      </c>
      <c r="C354" s="15" t="s">
        <v>78</v>
      </c>
      <c r="D354" s="6" t="n">
        <v>57347</v>
      </c>
      <c r="E354" s="6" t="n">
        <v>10972</v>
      </c>
      <c r="F354" s="16" t="n">
        <v>0.191</v>
      </c>
      <c r="G354" s="16" t="n">
        <v>0.049</v>
      </c>
      <c r="H354" s="16" t="n">
        <v>0.184</v>
      </c>
      <c r="I354" s="16" t="n">
        <v>0.053</v>
      </c>
      <c r="J354" s="6" t="n">
        <v>19</v>
      </c>
      <c r="K354" s="6" t="n">
        <v>20</v>
      </c>
      <c r="L354" s="7" t="n">
        <f aca="false">K354-J354</f>
        <v>1</v>
      </c>
      <c r="M354" s="10" t="n">
        <f aca="false">IF(J354=0,"",K354/J354-1)</f>
        <v>0.0526315789473684</v>
      </c>
      <c r="N354" s="17" t="n">
        <f aca="false">K354/D354*10000</f>
        <v>3.48754076063264</v>
      </c>
      <c r="O354" s="7" t="n">
        <f aca="false">IF(K354=0,"none",D354/K354)</f>
        <v>2867.35</v>
      </c>
      <c r="P354" s="7" t="n">
        <f aca="false">IF(K354=0,"none",E354/K354)</f>
        <v>548.6</v>
      </c>
      <c r="Q354" s="16" t="n">
        <v>0.141</v>
      </c>
      <c r="R354" s="16" t="n">
        <v>0.437</v>
      </c>
      <c r="S354" s="16" t="n">
        <v>0.069</v>
      </c>
      <c r="T354" s="6" t="n">
        <v>0</v>
      </c>
    </row>
    <row r="355" customFormat="false" ht="15" hidden="false" customHeight="false" outlineLevel="0" collapsed="false">
      <c r="A355" s="15" t="s">
        <v>803</v>
      </c>
      <c r="B355" s="15" t="s">
        <v>804</v>
      </c>
      <c r="C355" s="15" t="s">
        <v>78</v>
      </c>
      <c r="D355" s="6" t="n">
        <v>74303</v>
      </c>
      <c r="E355" s="6" t="n">
        <v>15906</v>
      </c>
      <c r="F355" s="16" t="n">
        <v>0.214</v>
      </c>
      <c r="G355" s="16" t="n">
        <v>0.093</v>
      </c>
      <c r="H355" s="16" t="n">
        <v>0.323</v>
      </c>
      <c r="I355" s="16" t="n">
        <v>0.048</v>
      </c>
      <c r="J355" s="6" t="n">
        <v>27</v>
      </c>
      <c r="K355" s="6" t="n">
        <v>26</v>
      </c>
      <c r="L355" s="7" t="n">
        <f aca="false">K355-J355</f>
        <v>-1</v>
      </c>
      <c r="M355" s="10" t="n">
        <f aca="false">IF(J355=0,"",K355/J355-1)</f>
        <v>-0.0370370370370371</v>
      </c>
      <c r="N355" s="17" t="n">
        <f aca="false">K355/D355*10000</f>
        <v>3.49918576638898</v>
      </c>
      <c r="O355" s="7" t="n">
        <f aca="false">IF(K355=0,"none",D355/K355)</f>
        <v>2857.80769230769</v>
      </c>
      <c r="P355" s="7" t="n">
        <f aca="false">IF(K355=0,"none",E355/K355)</f>
        <v>611.769230769231</v>
      </c>
      <c r="Q355" s="16" t="n">
        <v>0.177</v>
      </c>
      <c r="R355" s="16" t="n">
        <v>0.472</v>
      </c>
      <c r="S355" s="16" t="n">
        <v>0.102</v>
      </c>
      <c r="T355" s="6" t="n">
        <v>0</v>
      </c>
    </row>
    <row r="356" customFormat="false" ht="15" hidden="false" customHeight="false" outlineLevel="0" collapsed="false">
      <c r="A356" s="15" t="s">
        <v>805</v>
      </c>
      <c r="B356" s="15" t="s">
        <v>806</v>
      </c>
      <c r="C356" s="15" t="s">
        <v>78</v>
      </c>
      <c r="D356" s="6" t="n">
        <v>28005</v>
      </c>
      <c r="E356" s="6" t="n">
        <v>6280</v>
      </c>
      <c r="F356" s="16" t="n">
        <v>0.224</v>
      </c>
      <c r="G356" s="16" t="n">
        <v>0.109</v>
      </c>
      <c r="H356" s="16" t="n">
        <v>0.277</v>
      </c>
      <c r="I356" s="16" t="n">
        <v>0.077</v>
      </c>
      <c r="J356" s="6" t="n">
        <v>6</v>
      </c>
      <c r="K356" s="6" t="n">
        <v>5</v>
      </c>
      <c r="L356" s="7" t="n">
        <f aca="false">K356-J356</f>
        <v>-1</v>
      </c>
      <c r="M356" s="10" t="n">
        <f aca="false">IF(J356=0,"",K356/J356-1)</f>
        <v>-0.166666666666667</v>
      </c>
      <c r="N356" s="17" t="n">
        <f aca="false">K356/D356*10000</f>
        <v>1.78539546509552</v>
      </c>
      <c r="O356" s="7" t="n">
        <f aca="false">IF(K356=0,"none",D356/K356)</f>
        <v>5601</v>
      </c>
      <c r="P356" s="7" t="n">
        <f aca="false">IF(K356=0,"none",E356/K356)</f>
        <v>1256</v>
      </c>
      <c r="Q356" s="16" t="n">
        <v>0.16</v>
      </c>
      <c r="R356" s="16" t="n">
        <v>0.457</v>
      </c>
      <c r="S356" s="16" t="n">
        <v>0.087</v>
      </c>
      <c r="T356" s="6" t="n">
        <v>0</v>
      </c>
    </row>
    <row r="357" customFormat="false" ht="15" hidden="false" customHeight="false" outlineLevel="0" collapsed="false">
      <c r="A357" s="15" t="s">
        <v>807</v>
      </c>
      <c r="B357" s="15" t="s">
        <v>808</v>
      </c>
      <c r="C357" s="15" t="s">
        <v>78</v>
      </c>
      <c r="D357" s="6" t="n">
        <v>8507</v>
      </c>
      <c r="E357" s="6" t="n">
        <v>1930</v>
      </c>
      <c r="F357" s="16" t="n">
        <v>0.227</v>
      </c>
      <c r="G357" s="16" t="n">
        <v>0.046</v>
      </c>
      <c r="H357" s="16" t="n">
        <v>0.309</v>
      </c>
      <c r="I357" s="16" t="n">
        <v>0.071</v>
      </c>
      <c r="J357" s="6" t="n">
        <v>3</v>
      </c>
      <c r="K357" s="6" t="n">
        <v>3</v>
      </c>
      <c r="L357" s="7" t="n">
        <f aca="false">K357-J357</f>
        <v>0</v>
      </c>
      <c r="M357" s="10" t="n">
        <f aca="false">IF(J357=0,"",K357/J357-1)</f>
        <v>0</v>
      </c>
      <c r="N357" s="17" t="n">
        <f aca="false">K357/D357*10000</f>
        <v>3.5265075819913</v>
      </c>
      <c r="O357" s="7" t="n">
        <f aca="false">IF(K357=0,"none",D357/K357)</f>
        <v>2835.66666666667</v>
      </c>
      <c r="P357" s="7" t="n">
        <f aca="false">IF(K357=0,"none",E357/K357)</f>
        <v>643.333333333333</v>
      </c>
      <c r="Q357" s="16" t="n">
        <v>0.179</v>
      </c>
      <c r="R357" s="16" t="n">
        <v>0.476</v>
      </c>
      <c r="S357" s="16" t="n">
        <v>0.097</v>
      </c>
      <c r="T357" s="6" t="n">
        <v>0</v>
      </c>
    </row>
    <row r="358" customFormat="false" ht="15" hidden="false" customHeight="false" outlineLevel="0" collapsed="false">
      <c r="A358" s="15" t="s">
        <v>809</v>
      </c>
      <c r="B358" s="15" t="s">
        <v>810</v>
      </c>
      <c r="C358" s="15" t="s">
        <v>78</v>
      </c>
      <c r="D358" s="6" t="n">
        <v>14027</v>
      </c>
      <c r="E358" s="6" t="n">
        <v>3152</v>
      </c>
      <c r="F358" s="16" t="n">
        <v>0.225</v>
      </c>
      <c r="G358" s="16" t="n">
        <v>0.1</v>
      </c>
      <c r="H358" s="16" t="n">
        <v>0.376</v>
      </c>
      <c r="I358" s="16" t="n">
        <v>0.068</v>
      </c>
      <c r="J358" s="6" t="n">
        <v>3</v>
      </c>
      <c r="K358" s="6" t="n">
        <v>3</v>
      </c>
      <c r="L358" s="7" t="n">
        <f aca="false">K358-J358</f>
        <v>0</v>
      </c>
      <c r="M358" s="10" t="n">
        <f aca="false">IF(J358=0,"",K358/J358-1)</f>
        <v>0</v>
      </c>
      <c r="N358" s="17" t="n">
        <f aca="false">K358/D358*10000</f>
        <v>2.13873244457118</v>
      </c>
      <c r="O358" s="7" t="n">
        <f aca="false">IF(K358=0,"none",D358/K358)</f>
        <v>4675.66666666667</v>
      </c>
      <c r="P358" s="7" t="n">
        <f aca="false">IF(K358=0,"none",E358/K358)</f>
        <v>1050.66666666667</v>
      </c>
      <c r="Q358" s="16" t="n">
        <v>0.194</v>
      </c>
      <c r="R358" s="16" t="n">
        <v>0.491</v>
      </c>
      <c r="S358" s="16" t="n">
        <v>0.104</v>
      </c>
      <c r="T358" s="6" t="n">
        <v>0</v>
      </c>
    </row>
    <row r="359" customFormat="false" ht="15" hidden="false" customHeight="false" outlineLevel="0" collapsed="false">
      <c r="A359" s="15" t="s">
        <v>811</v>
      </c>
      <c r="B359" s="15" t="s">
        <v>812</v>
      </c>
      <c r="C359" s="15" t="s">
        <v>78</v>
      </c>
      <c r="D359" s="6" t="n">
        <v>11985</v>
      </c>
      <c r="E359" s="6" t="n">
        <v>3157</v>
      </c>
      <c r="F359" s="16" t="n">
        <v>0.263</v>
      </c>
      <c r="G359" s="16" t="n">
        <v>0.089</v>
      </c>
      <c r="H359" s="16" t="n">
        <v>0.311</v>
      </c>
      <c r="I359" s="16" t="n">
        <v>0.057</v>
      </c>
      <c r="J359" s="6" t="n">
        <v>4</v>
      </c>
      <c r="K359" s="6" t="n">
        <v>4</v>
      </c>
      <c r="L359" s="7" t="n">
        <f aca="false">K359-J359</f>
        <v>0</v>
      </c>
      <c r="M359" s="10" t="n">
        <f aca="false">IF(J359=0,"",K359/J359-1)</f>
        <v>0</v>
      </c>
      <c r="N359" s="17" t="n">
        <f aca="false">K359/D359*10000</f>
        <v>3.3375052148519</v>
      </c>
      <c r="O359" s="7" t="n">
        <f aca="false">IF(K359=0,"none",D359/K359)</f>
        <v>2996.25</v>
      </c>
      <c r="P359" s="7" t="n">
        <f aca="false">IF(K359=0,"none",E359/K359)</f>
        <v>789.25</v>
      </c>
      <c r="Q359" s="16" t="n">
        <v>0.194</v>
      </c>
      <c r="R359" s="16" t="n">
        <v>0.489</v>
      </c>
      <c r="S359" s="16" t="n">
        <v>0.105</v>
      </c>
      <c r="T359" s="6" t="n">
        <v>0</v>
      </c>
    </row>
    <row r="360" customFormat="false" ht="15" hidden="false" customHeight="false" outlineLevel="0" collapsed="false">
      <c r="A360" s="15" t="s">
        <v>813</v>
      </c>
      <c r="B360" s="15" t="s">
        <v>814</v>
      </c>
      <c r="C360" s="15" t="s">
        <v>78</v>
      </c>
      <c r="D360" s="6" t="n">
        <v>16602</v>
      </c>
      <c r="E360" s="6" t="n">
        <v>3404</v>
      </c>
      <c r="F360" s="16" t="n">
        <v>0.205</v>
      </c>
      <c r="G360" s="16" t="n">
        <v>0.071</v>
      </c>
      <c r="H360" s="16" t="n">
        <v>0.279</v>
      </c>
      <c r="I360" s="16" t="n">
        <v>0.056</v>
      </c>
      <c r="J360" s="6" t="n">
        <v>2</v>
      </c>
      <c r="K360" s="6" t="n">
        <v>2</v>
      </c>
      <c r="L360" s="7" t="n">
        <f aca="false">K360-J360</f>
        <v>0</v>
      </c>
      <c r="M360" s="10" t="n">
        <f aca="false">IF(J360=0,"",K360/J360-1)</f>
        <v>0</v>
      </c>
      <c r="N360" s="17" t="n">
        <f aca="false">K360/D360*10000</f>
        <v>1.20467413564631</v>
      </c>
      <c r="O360" s="7" t="n">
        <f aca="false">IF(K360=0,"none",D360/K360)</f>
        <v>8301</v>
      </c>
      <c r="P360" s="7" t="n">
        <f aca="false">IF(K360=0,"none",E360/K360)</f>
        <v>1702</v>
      </c>
      <c r="Q360" s="16" t="n">
        <v>0.159</v>
      </c>
      <c r="R360" s="16" t="n">
        <v>0.449</v>
      </c>
      <c r="S360" s="16" t="n">
        <v>0.087</v>
      </c>
      <c r="T360" s="6" t="n">
        <v>0</v>
      </c>
    </row>
    <row r="361" customFormat="false" ht="15" hidden="false" customHeight="false" outlineLevel="0" collapsed="false">
      <c r="A361" s="15" t="s">
        <v>815</v>
      </c>
      <c r="B361" s="15" t="s">
        <v>816</v>
      </c>
      <c r="C361" s="15" t="s">
        <v>78</v>
      </c>
      <c r="D361" s="6" t="n">
        <v>6747</v>
      </c>
      <c r="E361" s="6" t="n">
        <v>1820</v>
      </c>
      <c r="F361" s="16" t="n">
        <v>0.27</v>
      </c>
      <c r="G361" s="16" t="n">
        <v>0.098</v>
      </c>
      <c r="H361" s="16" t="n">
        <v>0.21</v>
      </c>
      <c r="I361" s="16" t="n">
        <v>0.052</v>
      </c>
      <c r="J361" s="6" t="n">
        <v>3</v>
      </c>
      <c r="K361" s="6" t="n">
        <v>0</v>
      </c>
      <c r="L361" s="7" t="n">
        <f aca="false">K361-J361</f>
        <v>-3</v>
      </c>
      <c r="M361" s="10" t="n">
        <f aca="false">IF(J361=0,"",K361/J361-1)</f>
        <v>-1</v>
      </c>
      <c r="N361" s="17" t="n">
        <f aca="false">K361/D361*10000</f>
        <v>0</v>
      </c>
      <c r="O361" s="7" t="str">
        <f aca="false">IF(K361=0,"none",D361/K361)</f>
        <v>none</v>
      </c>
      <c r="P361" s="7" t="str">
        <f aca="false">IF(K361=0,"none",E361/K361)</f>
        <v>none</v>
      </c>
      <c r="Q361" s="16" t="n">
        <v>0.169</v>
      </c>
      <c r="R361" s="16" t="n">
        <v>0.481</v>
      </c>
      <c r="S361" s="16" t="n">
        <v>0.075</v>
      </c>
      <c r="T361" s="6" t="n">
        <v>0</v>
      </c>
    </row>
    <row r="362" customFormat="false" ht="15" hidden="false" customHeight="false" outlineLevel="0" collapsed="false">
      <c r="A362" s="15" t="s">
        <v>817</v>
      </c>
      <c r="B362" s="15" t="s">
        <v>818</v>
      </c>
      <c r="C362" s="15" t="s">
        <v>78</v>
      </c>
      <c r="D362" s="6" t="n">
        <v>8336</v>
      </c>
      <c r="E362" s="6" t="n">
        <v>1950</v>
      </c>
      <c r="F362" s="16" t="n">
        <v>0.234</v>
      </c>
      <c r="G362" s="16" t="n">
        <v>0.073</v>
      </c>
      <c r="H362" s="16" t="n">
        <v>0.211</v>
      </c>
      <c r="I362" s="16" t="n">
        <v>0.048</v>
      </c>
      <c r="J362" s="6" t="n">
        <v>1</v>
      </c>
      <c r="K362" s="6" t="n">
        <v>1</v>
      </c>
      <c r="L362" s="7" t="n">
        <f aca="false">K362-J362</f>
        <v>0</v>
      </c>
      <c r="M362" s="10" t="n">
        <f aca="false">IF(J362=0,"",K362/J362-1)</f>
        <v>0</v>
      </c>
      <c r="N362" s="17" t="n">
        <f aca="false">K362/D362*10000</f>
        <v>1.19961612284069</v>
      </c>
      <c r="O362" s="7" t="n">
        <f aca="false">IF(K362=0,"none",D362/K362)</f>
        <v>8336</v>
      </c>
      <c r="P362" s="7" t="n">
        <f aca="false">IF(K362=0,"none",E362/K362)</f>
        <v>1950</v>
      </c>
      <c r="Q362" s="16" t="n">
        <v>0.176</v>
      </c>
      <c r="R362" s="16" t="n">
        <v>0.48</v>
      </c>
      <c r="S362" s="16" t="n">
        <v>0.083</v>
      </c>
      <c r="T362" s="6" t="n">
        <v>0</v>
      </c>
    </row>
    <row r="363" customFormat="false" ht="15" hidden="false" customHeight="false" outlineLevel="0" collapsed="false">
      <c r="A363" s="15" t="s">
        <v>819</v>
      </c>
      <c r="B363" s="15" t="s">
        <v>820</v>
      </c>
      <c r="C363" s="15" t="s">
        <v>78</v>
      </c>
      <c r="D363" s="6" t="n">
        <v>23875</v>
      </c>
      <c r="E363" s="6" t="n">
        <v>5025</v>
      </c>
      <c r="F363" s="16" t="n">
        <v>0.21</v>
      </c>
      <c r="G363" s="16" t="n">
        <v>0.093</v>
      </c>
      <c r="H363" s="16" t="n">
        <v>0.302</v>
      </c>
      <c r="I363" s="16" t="n">
        <v>0.068</v>
      </c>
      <c r="J363" s="6" t="n">
        <v>6</v>
      </c>
      <c r="K363" s="6" t="n">
        <v>6</v>
      </c>
      <c r="L363" s="7" t="n">
        <f aca="false">K363-J363</f>
        <v>0</v>
      </c>
      <c r="M363" s="10" t="n">
        <f aca="false">IF(J363=0,"",K363/J363-1)</f>
        <v>0</v>
      </c>
      <c r="N363" s="17" t="n">
        <f aca="false">K363/D363*10000</f>
        <v>2.5130890052356</v>
      </c>
      <c r="O363" s="7" t="n">
        <f aca="false">IF(K363=0,"none",D363/K363)</f>
        <v>3979.16666666667</v>
      </c>
      <c r="P363" s="7" t="n">
        <f aca="false">IF(K363=0,"none",E363/K363)</f>
        <v>837.5</v>
      </c>
      <c r="Q363" s="16" t="n">
        <v>0.165</v>
      </c>
      <c r="R363" s="16" t="n">
        <v>0.449</v>
      </c>
      <c r="S363" s="16" t="n">
        <v>0.093</v>
      </c>
      <c r="T363" s="6" t="n">
        <v>0</v>
      </c>
    </row>
    <row r="364" customFormat="false" ht="15" hidden="false" customHeight="false" outlineLevel="0" collapsed="false">
      <c r="A364" s="15" t="s">
        <v>821</v>
      </c>
      <c r="B364" s="15" t="s">
        <v>370</v>
      </c>
      <c r="C364" s="15" t="s">
        <v>78</v>
      </c>
      <c r="D364" s="6" t="n">
        <v>38933</v>
      </c>
      <c r="E364" s="6" t="n">
        <v>8352</v>
      </c>
      <c r="F364" s="16" t="n">
        <v>0.215</v>
      </c>
      <c r="G364" s="16" t="n">
        <v>0.086</v>
      </c>
      <c r="H364" s="16" t="n">
        <v>0.297</v>
      </c>
      <c r="I364" s="16" t="n">
        <v>0.078</v>
      </c>
      <c r="J364" s="6" t="n">
        <v>9</v>
      </c>
      <c r="K364" s="6" t="n">
        <v>6</v>
      </c>
      <c r="L364" s="7" t="n">
        <f aca="false">K364-J364</f>
        <v>-3</v>
      </c>
      <c r="M364" s="10" t="n">
        <f aca="false">IF(J364=0,"",K364/J364-1)</f>
        <v>-0.333333333333333</v>
      </c>
      <c r="N364" s="17" t="n">
        <f aca="false">K364/D364*10000</f>
        <v>1.54110908483806</v>
      </c>
      <c r="O364" s="7" t="n">
        <f aca="false">IF(K364=0,"none",D364/K364)</f>
        <v>6488.83333333333</v>
      </c>
      <c r="P364" s="7" t="n">
        <f aca="false">IF(K364=0,"none",E364/K364)</f>
        <v>1392</v>
      </c>
      <c r="Q364" s="16" t="n">
        <v>0.169</v>
      </c>
      <c r="R364" s="16" t="n">
        <v>0.465</v>
      </c>
      <c r="S364" s="16" t="n">
        <v>0.092</v>
      </c>
      <c r="T364" s="6" t="n">
        <v>0</v>
      </c>
    </row>
    <row r="365" customFormat="false" ht="15" hidden="false" customHeight="false" outlineLevel="0" collapsed="false">
      <c r="A365" s="15" t="s">
        <v>822</v>
      </c>
      <c r="B365" s="15" t="s">
        <v>823</v>
      </c>
      <c r="C365" s="15" t="s">
        <v>78</v>
      </c>
      <c r="D365" s="6" t="n">
        <v>8362</v>
      </c>
      <c r="E365" s="6" t="n">
        <v>2004</v>
      </c>
      <c r="F365" s="16" t="n">
        <v>0.24</v>
      </c>
      <c r="G365" s="16" t="n">
        <v>0.131</v>
      </c>
      <c r="H365" s="16" t="n">
        <v>0.314</v>
      </c>
      <c r="I365" s="16" t="n">
        <v>0.042</v>
      </c>
      <c r="J365" s="6" t="n">
        <v>2</v>
      </c>
      <c r="K365" s="6" t="n">
        <v>2</v>
      </c>
      <c r="L365" s="7" t="n">
        <f aca="false">K365-J365</f>
        <v>0</v>
      </c>
      <c r="M365" s="10" t="n">
        <f aca="false">IF(J365=0,"",K365/J365-1)</f>
        <v>0</v>
      </c>
      <c r="N365" s="17" t="n">
        <f aca="false">K365/D365*10000</f>
        <v>2.39177230327673</v>
      </c>
      <c r="O365" s="7" t="n">
        <f aca="false">IF(K365=0,"none",D365/K365)</f>
        <v>4181</v>
      </c>
      <c r="P365" s="7" t="n">
        <f aca="false">IF(K365=0,"none",E365/K365)</f>
        <v>1002</v>
      </c>
      <c r="Q365" s="16" t="n">
        <v>0.195</v>
      </c>
      <c r="R365" s="16" t="n">
        <v>0.499</v>
      </c>
      <c r="S365" s="16" t="n">
        <v>0.102</v>
      </c>
      <c r="T365" s="6" t="n">
        <v>0</v>
      </c>
    </row>
    <row r="366" customFormat="false" ht="15" hidden="false" customHeight="false" outlineLevel="0" collapsed="false">
      <c r="A366" s="15" t="s">
        <v>824</v>
      </c>
      <c r="B366" s="15" t="s">
        <v>825</v>
      </c>
      <c r="C366" s="15" t="s">
        <v>78</v>
      </c>
      <c r="D366" s="6" t="n">
        <v>14431</v>
      </c>
      <c r="E366" s="6" t="n">
        <v>3291</v>
      </c>
      <c r="F366" s="16" t="n">
        <v>0.228</v>
      </c>
      <c r="G366" s="16" t="n">
        <v>0.062</v>
      </c>
      <c r="H366" s="16" t="n">
        <v>0.263</v>
      </c>
      <c r="I366" s="16" t="n">
        <v>0.058</v>
      </c>
      <c r="J366" s="6" t="n">
        <v>2</v>
      </c>
      <c r="K366" s="6" t="n">
        <v>1</v>
      </c>
      <c r="L366" s="7" t="n">
        <f aca="false">K366-J366</f>
        <v>-1</v>
      </c>
      <c r="M366" s="10" t="n">
        <f aca="false">IF(J366=0,"",K366/J366-1)</f>
        <v>-0.5</v>
      </c>
      <c r="N366" s="17" t="n">
        <f aca="false">K366/D366*10000</f>
        <v>0.692952671332548</v>
      </c>
      <c r="O366" s="7" t="n">
        <f aca="false">IF(K366=0,"none",D366/K366)</f>
        <v>14431</v>
      </c>
      <c r="P366" s="7" t="n">
        <f aca="false">IF(K366=0,"none",E366/K366)</f>
        <v>3291</v>
      </c>
      <c r="Q366" s="16" t="n">
        <v>0.167</v>
      </c>
      <c r="R366" s="16" t="n">
        <v>0.456</v>
      </c>
      <c r="S366" s="16" t="n">
        <v>0.087</v>
      </c>
      <c r="T366" s="6" t="n">
        <v>0</v>
      </c>
    </row>
    <row r="367" customFormat="false" ht="15" hidden="false" customHeight="false" outlineLevel="0" collapsed="false">
      <c r="A367" s="15" t="s">
        <v>826</v>
      </c>
      <c r="B367" s="15" t="s">
        <v>827</v>
      </c>
      <c r="C367" s="15" t="s">
        <v>78</v>
      </c>
      <c r="D367" s="6" t="n">
        <v>5202</v>
      </c>
      <c r="E367" s="6" t="n">
        <v>1104</v>
      </c>
      <c r="F367" s="16" t="n">
        <v>0.212</v>
      </c>
      <c r="G367" s="16" t="n">
        <v>0.091</v>
      </c>
      <c r="H367" s="16" t="n">
        <v>0.344</v>
      </c>
      <c r="I367" s="16" t="n">
        <v>0.037</v>
      </c>
      <c r="J367" s="6" t="n">
        <v>1</v>
      </c>
      <c r="K367" s="6" t="n">
        <v>1</v>
      </c>
      <c r="L367" s="7" t="n">
        <f aca="false">K367-J367</f>
        <v>0</v>
      </c>
      <c r="M367" s="10" t="n">
        <f aca="false">IF(J367=0,"",K367/J367-1)</f>
        <v>0</v>
      </c>
      <c r="N367" s="17" t="n">
        <f aca="false">K367/D367*10000</f>
        <v>1.92233756247597</v>
      </c>
      <c r="O367" s="7" t="n">
        <f aca="false">IF(K367=0,"none",D367/K367)</f>
        <v>5202</v>
      </c>
      <c r="P367" s="7" t="n">
        <f aca="false">IF(K367=0,"none",E367/K367)</f>
        <v>1104</v>
      </c>
      <c r="Q367" s="16" t="n">
        <v>0.181</v>
      </c>
      <c r="R367" s="16" t="n">
        <v>0.476</v>
      </c>
      <c r="S367" s="16" t="n">
        <v>0.089</v>
      </c>
      <c r="T367" s="6" t="n">
        <v>0</v>
      </c>
    </row>
    <row r="368" customFormat="false" ht="15" hidden="false" customHeight="false" outlineLevel="0" collapsed="false">
      <c r="A368" s="15" t="s">
        <v>828</v>
      </c>
      <c r="B368" s="15" t="s">
        <v>829</v>
      </c>
      <c r="C368" s="15" t="s">
        <v>78</v>
      </c>
      <c r="D368" s="6" t="n">
        <v>84272</v>
      </c>
      <c r="E368" s="6" t="n">
        <v>17715</v>
      </c>
      <c r="F368" s="16" t="n">
        <v>0.21</v>
      </c>
      <c r="G368" s="16" t="n">
        <v>0.084</v>
      </c>
      <c r="H368" s="16" t="n">
        <v>0.258</v>
      </c>
      <c r="I368" s="16" t="n">
        <v>0.067</v>
      </c>
      <c r="J368" s="6" t="n">
        <v>19</v>
      </c>
      <c r="K368" s="6" t="n">
        <v>20</v>
      </c>
      <c r="L368" s="7" t="n">
        <f aca="false">K368-J368</f>
        <v>1</v>
      </c>
      <c r="M368" s="10" t="n">
        <f aca="false">IF(J368=0,"",K368/J368-1)</f>
        <v>0.0526315789473684</v>
      </c>
      <c r="N368" s="17" t="n">
        <f aca="false">K368/D368*10000</f>
        <v>2.37326751471426</v>
      </c>
      <c r="O368" s="7" t="n">
        <f aca="false">IF(K368=0,"none",D368/K368)</f>
        <v>4213.6</v>
      </c>
      <c r="P368" s="7" t="n">
        <f aca="false">IF(K368=0,"none",E368/K368)</f>
        <v>885.75</v>
      </c>
      <c r="Q368" s="16" t="n">
        <v>0.166</v>
      </c>
      <c r="R368" s="16" t="n">
        <v>0.453</v>
      </c>
      <c r="S368" s="16" t="n">
        <v>0.085</v>
      </c>
      <c r="T368" s="6" t="n">
        <v>0</v>
      </c>
    </row>
    <row r="369" customFormat="false" ht="15" hidden="false" customHeight="false" outlineLevel="0" collapsed="false">
      <c r="A369" s="15" t="s">
        <v>830</v>
      </c>
      <c r="B369" s="15" t="s">
        <v>374</v>
      </c>
      <c r="C369" s="15" t="s">
        <v>78</v>
      </c>
      <c r="D369" s="6" t="n">
        <v>21237</v>
      </c>
      <c r="E369" s="6" t="n">
        <v>4789</v>
      </c>
      <c r="F369" s="16" t="n">
        <v>0.226</v>
      </c>
      <c r="G369" s="16" t="n">
        <v>0.104</v>
      </c>
      <c r="H369" s="16" t="n">
        <v>0.364</v>
      </c>
      <c r="I369" s="16" t="n">
        <v>0.065</v>
      </c>
      <c r="J369" s="6" t="n">
        <v>12</v>
      </c>
      <c r="K369" s="6" t="n">
        <v>7</v>
      </c>
      <c r="L369" s="7" t="n">
        <f aca="false">K369-J369</f>
        <v>-5</v>
      </c>
      <c r="M369" s="10" t="n">
        <f aca="false">IF(J369=0,"",K369/J369-1)</f>
        <v>-0.416666666666667</v>
      </c>
      <c r="N369" s="17" t="n">
        <f aca="false">K369/D369*10000</f>
        <v>3.29613410557047</v>
      </c>
      <c r="O369" s="7" t="n">
        <f aca="false">IF(K369=0,"none",D369/K369)</f>
        <v>3033.85714285714</v>
      </c>
      <c r="P369" s="7" t="n">
        <f aca="false">IF(K369=0,"none",E369/K369)</f>
        <v>684.142857142857</v>
      </c>
      <c r="Q369" s="16" t="n">
        <v>0.187</v>
      </c>
      <c r="R369" s="16" t="n">
        <v>0.497</v>
      </c>
      <c r="S369" s="16" t="n">
        <v>0.106</v>
      </c>
      <c r="T369" s="6" t="n">
        <v>0</v>
      </c>
    </row>
  </sheetData>
  <autoFilter ref="A4:T3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831</v>
      </c>
    </row>
    <row r="2" customFormat="false" ht="15" hidden="false" customHeight="false" outlineLevel="0" collapsed="false">
      <c r="A2" s="2" t="s">
        <v>832</v>
      </c>
    </row>
    <row r="4" customFormat="false" ht="23.85" hidden="false" customHeight="false" outlineLevel="0" collapsed="false">
      <c r="A4" s="3" t="s">
        <v>82</v>
      </c>
      <c r="B4" s="3" t="s">
        <v>83</v>
      </c>
      <c r="C4" s="3" t="s">
        <v>833</v>
      </c>
      <c r="D4" s="3" t="s">
        <v>834</v>
      </c>
      <c r="E4" s="3" t="s">
        <v>835</v>
      </c>
      <c r="F4" s="3" t="s">
        <v>155</v>
      </c>
      <c r="G4" s="3" t="s">
        <v>156</v>
      </c>
      <c r="H4" s="3" t="s">
        <v>163</v>
      </c>
    </row>
    <row r="5" customFormat="false" ht="15" hidden="false" customHeight="false" outlineLevel="0" collapsed="false">
      <c r="A5" s="0" t="s">
        <v>91</v>
      </c>
      <c r="B5" s="6" t="n">
        <v>4</v>
      </c>
      <c r="C5" s="6" t="n">
        <v>10464734</v>
      </c>
      <c r="D5" s="6" t="n">
        <v>266</v>
      </c>
      <c r="E5" s="7" t="n">
        <f aca="false">C5/D5</f>
        <v>39341.1052631579</v>
      </c>
      <c r="F5" s="6" t="n">
        <v>993635</v>
      </c>
      <c r="G5" s="6" t="n">
        <v>195016</v>
      </c>
      <c r="H5" s="7" t="n">
        <f aca="false">G5/D5</f>
        <v>733.142857142857</v>
      </c>
    </row>
    <row r="6" customFormat="false" ht="15" hidden="false" customHeight="false" outlineLevel="0" collapsed="false">
      <c r="A6" s="0" t="s">
        <v>93</v>
      </c>
      <c r="B6" s="6" t="n">
        <v>52</v>
      </c>
      <c r="C6" s="6" t="n">
        <v>44894569</v>
      </c>
      <c r="D6" s="6" t="n">
        <v>1136</v>
      </c>
      <c r="E6" s="7" t="n">
        <f aca="false">C6/D6</f>
        <v>39519.8670774648</v>
      </c>
      <c r="F6" s="6" t="n">
        <v>6161707</v>
      </c>
      <c r="G6" s="6" t="n">
        <v>986154</v>
      </c>
      <c r="H6" s="7" t="n">
        <f aca="false">G6/D6</f>
        <v>868.093309859155</v>
      </c>
    </row>
    <row r="7" customFormat="false" ht="15" hidden="false" customHeight="false" outlineLevel="0" collapsed="false">
      <c r="A7" s="0" t="s">
        <v>97</v>
      </c>
      <c r="B7" s="6" t="n">
        <v>6</v>
      </c>
      <c r="C7" s="6" t="n">
        <v>78376519</v>
      </c>
      <c r="D7" s="6" t="n">
        <v>2324</v>
      </c>
      <c r="E7" s="7" t="n">
        <f aca="false">C7/D7</f>
        <v>33724.8360585198</v>
      </c>
      <c r="F7" s="6" t="n">
        <v>9249063</v>
      </c>
      <c r="G7" s="6" t="n">
        <v>1532614</v>
      </c>
      <c r="H7" s="7" t="n">
        <f aca="false">G7/D7</f>
        <v>659.472461273666</v>
      </c>
    </row>
    <row r="8" customFormat="false" ht="15" hidden="false" customHeight="false" outlineLevel="0" collapsed="false">
      <c r="A8" s="0" t="s">
        <v>95</v>
      </c>
      <c r="B8" s="6" t="n">
        <v>8</v>
      </c>
      <c r="C8" s="6" t="n">
        <v>193645008</v>
      </c>
      <c r="D8" s="6" t="n">
        <v>5158</v>
      </c>
      <c r="E8" s="7" t="n">
        <f aca="false">C8/D8</f>
        <v>37542.6537417604</v>
      </c>
      <c r="F8" s="6" t="n">
        <v>19994379</v>
      </c>
      <c r="G8" s="6" t="n">
        <v>3402284</v>
      </c>
      <c r="H8" s="7" t="n">
        <f aca="false">G8/D8</f>
        <v>659.613028305545</v>
      </c>
    </row>
    <row r="9" customFormat="false" ht="15" hidden="false" customHeight="false" outlineLevel="0" collapsed="false">
      <c r="A9" s="0" t="s">
        <v>92</v>
      </c>
      <c r="B9" s="6" t="n">
        <v>120</v>
      </c>
      <c r="C9" s="6" t="n">
        <v>148448564</v>
      </c>
      <c r="D9" s="6" t="n">
        <v>2580</v>
      </c>
      <c r="E9" s="7" t="n">
        <f aca="false">C9/D9</f>
        <v>57538.2031007752</v>
      </c>
      <c r="F9" s="6" t="n">
        <v>12989208</v>
      </c>
      <c r="G9" s="6" t="n">
        <v>2434405</v>
      </c>
      <c r="H9" s="7" t="n">
        <f aca="false">G9/D9</f>
        <v>943.567829457364</v>
      </c>
    </row>
    <row r="10" customFormat="false" ht="15" hidden="false" customHeight="false" outlineLevel="0" collapsed="false">
      <c r="A10" s="0" t="s">
        <v>96</v>
      </c>
      <c r="B10" s="6" t="n">
        <v>9</v>
      </c>
      <c r="C10" s="6" t="n">
        <v>71034821</v>
      </c>
      <c r="D10" s="6" t="n">
        <v>1546</v>
      </c>
      <c r="E10" s="7" t="n">
        <f aca="false">C10/D10</f>
        <v>45947.4909443726</v>
      </c>
      <c r="F10" s="6" t="n">
        <v>8624511</v>
      </c>
      <c r="G10" s="6" t="n">
        <v>1381006</v>
      </c>
      <c r="H10" s="7" t="n">
        <f aca="false">G10/D10</f>
        <v>893.276843467012</v>
      </c>
    </row>
    <row r="11" customFormat="false" ht="15" hidden="false" customHeight="false" outlineLevel="0" collapsed="false">
      <c r="A11" s="0" t="s">
        <v>94</v>
      </c>
      <c r="B11" s="6" t="n">
        <v>3</v>
      </c>
      <c r="C11" s="6" t="n">
        <v>23452326</v>
      </c>
      <c r="D11" s="6" t="n">
        <v>514</v>
      </c>
      <c r="E11" s="7" t="n">
        <f aca="false">C11/D11</f>
        <v>45627.093385214</v>
      </c>
      <c r="F11" s="6" t="n">
        <v>1792967</v>
      </c>
      <c r="G11" s="6" t="n">
        <v>366444</v>
      </c>
      <c r="H11" s="7" t="n">
        <f aca="false">G11/D11</f>
        <v>712.926070038911</v>
      </c>
    </row>
    <row r="12" customFormat="false" ht="15" hidden="false" customHeight="false" outlineLevel="0" collapsed="false">
      <c r="A12" s="4" t="s">
        <v>98</v>
      </c>
      <c r="E12" s="6" t="n">
        <v>50255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2" t="s">
        <v>837</v>
      </c>
    </row>
    <row r="4" customFormat="false" ht="35.05" hidden="false" customHeight="false" outlineLevel="0" collapsed="false">
      <c r="A4" s="3" t="s">
        <v>103</v>
      </c>
      <c r="B4" s="3" t="s">
        <v>37</v>
      </c>
      <c r="C4" s="3" t="s">
        <v>38</v>
      </c>
      <c r="D4" s="3" t="s">
        <v>838</v>
      </c>
      <c r="E4" s="3" t="s">
        <v>839</v>
      </c>
      <c r="F4" s="3" t="s">
        <v>840</v>
      </c>
      <c r="G4" s="3" t="s">
        <v>841</v>
      </c>
      <c r="H4" s="3" t="s">
        <v>842</v>
      </c>
    </row>
    <row r="5" customFormat="false" ht="15" hidden="false" customHeight="false" outlineLevel="0" collapsed="false">
      <c r="A5" s="11" t="n">
        <v>2014</v>
      </c>
      <c r="B5" s="6" t="n">
        <v>62300</v>
      </c>
      <c r="C5" s="6" t="n">
        <v>709955</v>
      </c>
      <c r="D5" s="18" t="n">
        <v>27792765657</v>
      </c>
      <c r="E5" s="18" t="n">
        <v>39147</v>
      </c>
      <c r="F5" s="19" t="n">
        <f aca="false">D5/B5</f>
        <v>446111.808298555</v>
      </c>
      <c r="G5" s="12" t="n">
        <f aca="false">C5/B5</f>
        <v>11.395746388443</v>
      </c>
      <c r="H5" s="8" t="n">
        <f aca="false">F5/$F$5-1</f>
        <v>0</v>
      </c>
    </row>
    <row r="6" customFormat="false" ht="15" hidden="false" customHeight="false" outlineLevel="0" collapsed="false">
      <c r="A6" s="11" t="n">
        <v>2015</v>
      </c>
      <c r="B6" s="6" t="n">
        <v>62916</v>
      </c>
      <c r="C6" s="6" t="n">
        <v>716126</v>
      </c>
      <c r="D6" s="18" t="n">
        <v>28790288296</v>
      </c>
      <c r="E6" s="18" t="n">
        <v>40203</v>
      </c>
      <c r="F6" s="19" t="n">
        <f aca="false">D6/B6</f>
        <v>457598.834890966</v>
      </c>
      <c r="G6" s="12" t="n">
        <f aca="false">C6/B6</f>
        <v>11.3822557060207</v>
      </c>
      <c r="H6" s="8" t="n">
        <f aca="false">F6/$F$5-1</f>
        <v>0.0257492099037262</v>
      </c>
    </row>
    <row r="7" customFormat="false" ht="15" hidden="false" customHeight="false" outlineLevel="0" collapsed="false">
      <c r="A7" s="11" t="n">
        <v>2016</v>
      </c>
      <c r="B7" s="6" t="n">
        <v>63697</v>
      </c>
      <c r="C7" s="6" t="n">
        <v>726150</v>
      </c>
      <c r="D7" s="18" t="n">
        <v>29552663037</v>
      </c>
      <c r="E7" s="18" t="n">
        <v>40698</v>
      </c>
      <c r="F7" s="19" t="n">
        <f aca="false">D7/B7</f>
        <v>463956.905929636</v>
      </c>
      <c r="G7" s="12" t="n">
        <f aca="false">C7/B7</f>
        <v>11.4000659371713</v>
      </c>
      <c r="H7" s="8" t="n">
        <f aca="false">F7/$F$5-1</f>
        <v>0.0400014016646195</v>
      </c>
    </row>
    <row r="8" customFormat="false" ht="15" hidden="false" customHeight="false" outlineLevel="0" collapsed="false">
      <c r="A8" s="11" t="n">
        <v>2017</v>
      </c>
      <c r="B8" s="6" t="n">
        <v>63441</v>
      </c>
      <c r="C8" s="6" t="n">
        <v>723484</v>
      </c>
      <c r="D8" s="18" t="n">
        <v>29985468888</v>
      </c>
      <c r="E8" s="18" t="n">
        <v>41446</v>
      </c>
      <c r="F8" s="19" t="n">
        <f aca="false">D8/B8</f>
        <v>472651.264765688</v>
      </c>
      <c r="G8" s="12" t="n">
        <f aca="false">C8/B8</f>
        <v>11.4040447029524</v>
      </c>
      <c r="H8" s="8" t="n">
        <f aca="false">F8/$F$5-1</f>
        <v>0.0594905940023252</v>
      </c>
    </row>
    <row r="9" customFormat="false" ht="15" hidden="false" customHeight="false" outlineLevel="0" collapsed="false">
      <c r="A9" s="11" t="n">
        <v>2018</v>
      </c>
      <c r="B9" s="6" t="n">
        <v>64193</v>
      </c>
      <c r="C9" s="6" t="n">
        <v>705769</v>
      </c>
      <c r="D9" s="18" t="n">
        <v>30044858019</v>
      </c>
      <c r="E9" s="18" t="n">
        <v>42570</v>
      </c>
      <c r="F9" s="19" t="n">
        <f aca="false">D9/B9</f>
        <v>468039.475005063</v>
      </c>
      <c r="G9" s="12" t="n">
        <f aca="false">C9/B9</f>
        <v>10.9944853800259</v>
      </c>
      <c r="H9" s="8" t="n">
        <f aca="false">F9/$F$5-1</f>
        <v>0.0491528497982117</v>
      </c>
    </row>
    <row r="10" customFormat="false" ht="15" hidden="false" customHeight="false" outlineLevel="0" collapsed="false">
      <c r="A10" s="11" t="n">
        <v>2019</v>
      </c>
      <c r="B10" s="6" t="n">
        <v>64065</v>
      </c>
      <c r="C10" s="6" t="n">
        <v>687681</v>
      </c>
      <c r="D10" s="18" t="n">
        <v>30000985787</v>
      </c>
      <c r="E10" s="18" t="n">
        <v>43626</v>
      </c>
      <c r="F10" s="19" t="n">
        <f aca="false">D10/B10</f>
        <v>468289.796097713</v>
      </c>
      <c r="G10" s="12" t="n">
        <f aca="false">C10/B10</f>
        <v>10.7341137906813</v>
      </c>
      <c r="H10" s="8" t="n">
        <f aca="false">F10/$F$5-1</f>
        <v>0.0497139671862608</v>
      </c>
    </row>
    <row r="11" customFormat="false" ht="15" hidden="false" customHeight="false" outlineLevel="0" collapsed="false">
      <c r="A11" s="11" t="n">
        <v>2020</v>
      </c>
      <c r="B11" s="6" t="n">
        <v>64108</v>
      </c>
      <c r="C11" s="6" t="n">
        <v>669977</v>
      </c>
      <c r="D11" s="18" t="n">
        <v>31210214977</v>
      </c>
      <c r="E11" s="18" t="n">
        <v>46584</v>
      </c>
      <c r="F11" s="19" t="n">
        <f aca="false">D11/B11</f>
        <v>486838.069772883</v>
      </c>
      <c r="G11" s="12" t="n">
        <f aca="false">C11/B11</f>
        <v>10.450754975978</v>
      </c>
      <c r="H11" s="8" t="n">
        <f aca="false">F11/$F$5-1</f>
        <v>0.0912916016046639</v>
      </c>
    </row>
    <row r="12" customFormat="false" ht="15" hidden="false" customHeight="false" outlineLevel="0" collapsed="false">
      <c r="A12" s="11" t="n">
        <v>2021</v>
      </c>
      <c r="B12" s="6" t="n">
        <v>64576</v>
      </c>
      <c r="C12" s="6" t="n">
        <v>694736</v>
      </c>
      <c r="D12" s="18" t="n">
        <v>32738569011</v>
      </c>
      <c r="E12" s="18" t="n">
        <v>47124</v>
      </c>
      <c r="F12" s="19" t="n">
        <f aca="false">D12/B12</f>
        <v>506977.344694623</v>
      </c>
      <c r="G12" s="12" t="n">
        <f aca="false">C12/B12</f>
        <v>10.7584241823588</v>
      </c>
      <c r="H12" s="8" t="n">
        <f aca="false">F12/$F$5-1</f>
        <v>0.136435609333466</v>
      </c>
    </row>
    <row r="13" customFormat="false" ht="15" hidden="false" customHeight="false" outlineLevel="0" collapsed="false">
      <c r="A13" s="11" t="n">
        <v>2022</v>
      </c>
      <c r="B13" s="6" t="n">
        <v>65348</v>
      </c>
      <c r="C13" s="6" t="n">
        <v>733739</v>
      </c>
      <c r="D13" s="18" t="n">
        <v>36188007093</v>
      </c>
      <c r="E13" s="18" t="n">
        <v>49320</v>
      </c>
      <c r="F13" s="19" t="n">
        <f aca="false">D13/B13</f>
        <v>553773.75119361</v>
      </c>
      <c r="G13" s="12" t="n">
        <f aca="false">C13/B13</f>
        <v>11.2281783681214</v>
      </c>
      <c r="H13" s="8" t="n">
        <f aca="false">F13/$F$5-1</f>
        <v>0.241333990475775</v>
      </c>
    </row>
    <row r="14" customFormat="false" ht="15" hidden="false" customHeight="false" outlineLevel="0" collapsed="false">
      <c r="A14" s="11" t="n">
        <v>2023</v>
      </c>
      <c r="B14" s="6" t="n">
        <v>64369</v>
      </c>
      <c r="C14" s="6" t="n">
        <v>721552</v>
      </c>
      <c r="D14" s="18" t="n">
        <v>36665699736</v>
      </c>
      <c r="E14" s="18" t="n">
        <v>50815</v>
      </c>
      <c r="F14" s="19" t="n">
        <f aca="false">D14/B14</f>
        <v>569617.358293589</v>
      </c>
      <c r="G14" s="12" t="n">
        <f aca="false">C14/B14</f>
        <v>11.2096195373549</v>
      </c>
      <c r="H14" s="8" t="n">
        <f aca="false">F14/$F$5-1</f>
        <v>0.276848869941543</v>
      </c>
    </row>
    <row r="15" customFormat="false" ht="15" hidden="false" customHeight="false" outlineLevel="0" collapsed="false">
      <c r="A15" s="11" t="n">
        <v>2024</v>
      </c>
      <c r="B15" s="6" t="n">
        <v>62507</v>
      </c>
      <c r="C15" s="6" t="n">
        <v>701230</v>
      </c>
      <c r="D15" s="18" t="n">
        <v>36908628353</v>
      </c>
      <c r="E15" s="18" t="n">
        <v>52634</v>
      </c>
      <c r="F15" s="19" t="n">
        <f aca="false">D15/B15</f>
        <v>590471.920792871</v>
      </c>
      <c r="G15" s="12" t="n">
        <f aca="false">C15/B15</f>
        <v>11.2184235365639</v>
      </c>
      <c r="H15" s="8" t="n">
        <f aca="false">F15/$F$5-1</f>
        <v>0.32359625952269</v>
      </c>
    </row>
    <row r="16" customFormat="false" ht="15" hidden="false" customHeight="false" outlineLevel="0" collapsed="false">
      <c r="A16" s="11" t="n">
        <v>2025</v>
      </c>
      <c r="B16" s="6" t="n">
        <v>60629</v>
      </c>
      <c r="C16" s="6" t="n">
        <v>668951</v>
      </c>
      <c r="D16" s="18" t="n">
        <v>36396496512</v>
      </c>
      <c r="E16" s="18" t="n">
        <v>54408</v>
      </c>
      <c r="F16" s="19" t="n">
        <f aca="false">D16/B16</f>
        <v>600314.973230632</v>
      </c>
      <c r="G16" s="12" t="n">
        <f aca="false">C16/B16</f>
        <v>11.0335153144535</v>
      </c>
      <c r="H16" s="8" t="n">
        <f aca="false">F16/$F$5-1</f>
        <v>0.34566035254749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843</v>
      </c>
    </row>
    <row r="2" customFormat="false" ht="15" hidden="false" customHeight="false" outlineLevel="0" collapsed="false">
      <c r="A2" s="2" t="s">
        <v>844</v>
      </c>
    </row>
    <row r="4" customFormat="false" ht="15" hidden="false" customHeight="false" outlineLevel="0" collapsed="false">
      <c r="A4" s="3" t="s">
        <v>845</v>
      </c>
      <c r="B4" s="3" t="s">
        <v>846</v>
      </c>
      <c r="C4" s="3" t="s">
        <v>847</v>
      </c>
    </row>
    <row r="5" customFormat="false" ht="15" hidden="false" customHeight="false" outlineLevel="0" collapsed="false">
      <c r="A5" s="0" t="s">
        <v>848</v>
      </c>
      <c r="B5" s="6" t="n">
        <v>180</v>
      </c>
      <c r="C5" s="14" t="s">
        <v>849</v>
      </c>
    </row>
    <row r="6" customFormat="false" ht="15" hidden="false" customHeight="false" outlineLevel="0" collapsed="false">
      <c r="A6" s="0" t="s">
        <v>850</v>
      </c>
      <c r="B6" s="20" t="n">
        <v>78.6</v>
      </c>
      <c r="C6" s="14" t="s">
        <v>851</v>
      </c>
    </row>
    <row r="7" customFormat="false" ht="15" hidden="false" customHeight="false" outlineLevel="0" collapsed="false">
      <c r="A7" s="0" t="s">
        <v>852</v>
      </c>
      <c r="B7" s="16" t="n">
        <v>0.197</v>
      </c>
      <c r="C7" s="14" t="s">
        <v>853</v>
      </c>
    </row>
    <row r="8" customFormat="false" ht="15" hidden="false" customHeight="false" outlineLevel="0" collapsed="false">
      <c r="A8" s="0" t="s">
        <v>854</v>
      </c>
      <c r="B8" s="18" t="n">
        <v>600000</v>
      </c>
      <c r="C8" s="14" t="s">
        <v>855</v>
      </c>
    </row>
    <row r="9" customFormat="false" ht="15" hidden="false" customHeight="false" outlineLevel="0" collapsed="false">
      <c r="A9" s="0" t="s">
        <v>856</v>
      </c>
      <c r="B9" s="18" t="n">
        <v>250000</v>
      </c>
      <c r="C9" s="14" t="s">
        <v>857</v>
      </c>
    </row>
    <row r="10" customFormat="false" ht="15" hidden="false" customHeight="false" outlineLevel="0" collapsed="false">
      <c r="A10" s="0" t="s">
        <v>858</v>
      </c>
      <c r="B10" s="6" t="n">
        <v>365</v>
      </c>
      <c r="C10" s="14" t="s">
        <v>859</v>
      </c>
    </row>
    <row r="12" customFormat="false" ht="15" hidden="false" customHeight="false" outlineLevel="0" collapsed="false">
      <c r="A12" s="15" t="s">
        <v>860</v>
      </c>
      <c r="B12" s="21" t="n">
        <f aca="false">B6*B7</f>
        <v>15.4842</v>
      </c>
    </row>
    <row r="13" customFormat="false" ht="15" hidden="false" customHeight="false" outlineLevel="0" collapsed="false">
      <c r="A13" s="15" t="s">
        <v>861</v>
      </c>
      <c r="B13" s="7" t="n">
        <f aca="false">B5*B10</f>
        <v>65700</v>
      </c>
    </row>
    <row r="14" customFormat="false" ht="15" hidden="false" customHeight="false" outlineLevel="0" collapsed="false">
      <c r="A14" s="15" t="s">
        <v>862</v>
      </c>
      <c r="B14" s="19" t="n">
        <f aca="false">B13*B6</f>
        <v>5164020</v>
      </c>
    </row>
    <row r="15" customFormat="false" ht="15" hidden="false" customHeight="false" outlineLevel="0" collapsed="false">
      <c r="A15" s="15" t="s">
        <v>863</v>
      </c>
      <c r="B15" s="19" t="n">
        <f aca="false">B13*B12</f>
        <v>1017311.94</v>
      </c>
    </row>
    <row r="16" customFormat="false" ht="15" hidden="false" customHeight="false" outlineLevel="0" collapsed="false">
      <c r="A16" s="15" t="s">
        <v>864</v>
      </c>
      <c r="B16" s="19" t="n">
        <f aca="false">B8+B9</f>
        <v>850000</v>
      </c>
    </row>
    <row r="17" customFormat="false" ht="15" hidden="false" customHeight="false" outlineLevel="0" collapsed="false">
      <c r="A17" s="4" t="s">
        <v>865</v>
      </c>
      <c r="B17" s="19" t="n">
        <f aca="false">B15-B16</f>
        <v>167311.94</v>
      </c>
    </row>
    <row r="18" customFormat="false" ht="15" hidden="false" customHeight="false" outlineLevel="0" collapsed="false">
      <c r="A18" s="15" t="s">
        <v>866</v>
      </c>
      <c r="B18" s="8" t="n">
        <f aca="false">B17/B14</f>
        <v>0.0323995530613747</v>
      </c>
    </row>
    <row r="19" customFormat="false" ht="15" hidden="false" customHeight="false" outlineLevel="0" collapsed="false">
      <c r="A19" s="15" t="s">
        <v>867</v>
      </c>
      <c r="B19" s="22" t="n">
        <f aca="false">B16/B12/B10</f>
        <v>150.396347456612</v>
      </c>
    </row>
    <row r="20" customFormat="false" ht="15" hidden="false" customHeight="false" outlineLevel="0" collapsed="false">
      <c r="A20" s="4" t="s">
        <v>868</v>
      </c>
      <c r="B20" s="19" t="n">
        <f aca="false">-B13</f>
        <v>-65700</v>
      </c>
    </row>
    <row r="22" customFormat="false" ht="15" hidden="false" customHeight="false" outlineLevel="0" collapsed="false">
      <c r="A22" s="4" t="s">
        <v>869</v>
      </c>
    </row>
    <row r="23" customFormat="false" ht="15" hidden="false" customHeight="false" outlineLevel="0" collapsed="false">
      <c r="B23" s="20" t="n">
        <v>70</v>
      </c>
      <c r="C23" s="20" t="n">
        <v>74</v>
      </c>
      <c r="D23" s="20" t="n">
        <v>78.6</v>
      </c>
      <c r="E23" s="20" t="n">
        <v>82</v>
      </c>
      <c r="F23" s="20" t="n">
        <v>86</v>
      </c>
    </row>
    <row r="24" customFormat="false" ht="15" hidden="false" customHeight="false" outlineLevel="0" collapsed="false">
      <c r="A24" s="6" t="n">
        <v>100</v>
      </c>
      <c r="B24" s="19" t="n">
        <f aca="false">$A24*$B$10*B$23*$B$7-$B$16</f>
        <v>-346665</v>
      </c>
      <c r="C24" s="19" t="n">
        <f aca="false">$A24*$B$10*C$23*$B$7-$B$16</f>
        <v>-317903</v>
      </c>
      <c r="D24" s="19" t="n">
        <f aca="false">$A24*$B$10*D$23*$B$7-$B$16</f>
        <v>-284826.7</v>
      </c>
      <c r="E24" s="19" t="n">
        <f aca="false">$A24*$B$10*E$23*$B$7-$B$16</f>
        <v>-260379</v>
      </c>
      <c r="F24" s="19" t="n">
        <f aca="false">$A24*$B$10*F$23*$B$7-$B$16</f>
        <v>-231617</v>
      </c>
    </row>
    <row r="25" customFormat="false" ht="15" hidden="false" customHeight="false" outlineLevel="0" collapsed="false">
      <c r="A25" s="6" t="n">
        <v>130</v>
      </c>
      <c r="B25" s="19" t="n">
        <f aca="false">$A25*$B$10*B$23*$B$7-$B$16</f>
        <v>-195664.5</v>
      </c>
      <c r="C25" s="19" t="n">
        <f aca="false">$A25*$B$10*C$23*$B$7-$B$16</f>
        <v>-158273.9</v>
      </c>
      <c r="D25" s="19" t="n">
        <f aca="false">$A25*$B$10*D$23*$B$7-$B$16</f>
        <v>-115274.71</v>
      </c>
      <c r="E25" s="19" t="n">
        <f aca="false">$A25*$B$10*E$23*$B$7-$B$16</f>
        <v>-83492.7</v>
      </c>
      <c r="F25" s="19" t="n">
        <f aca="false">$A25*$B$10*F$23*$B$7-$B$16</f>
        <v>-46102.1</v>
      </c>
    </row>
    <row r="26" customFormat="false" ht="15" hidden="false" customHeight="false" outlineLevel="0" collapsed="false">
      <c r="A26" s="6" t="n">
        <v>150</v>
      </c>
      <c r="B26" s="19" t="n">
        <f aca="false">$A26*$B$10*B$23*$B$7-$B$16</f>
        <v>-94997.5</v>
      </c>
      <c r="C26" s="19" t="n">
        <f aca="false">$A26*$B$10*C$23*$B$7-$B$16</f>
        <v>-51854.5</v>
      </c>
      <c r="D26" s="19" t="n">
        <f aca="false">$A26*$B$10*D$23*$B$7-$B$16</f>
        <v>-2240.04999999993</v>
      </c>
      <c r="E26" s="19" t="n">
        <f aca="false">$A26*$B$10*E$23*$B$7-$B$16</f>
        <v>34431.5</v>
      </c>
      <c r="F26" s="19" t="n">
        <f aca="false">$A26*$B$10*F$23*$B$7-$B$16</f>
        <v>77574.5</v>
      </c>
    </row>
    <row r="27" customFormat="false" ht="15" hidden="false" customHeight="false" outlineLevel="0" collapsed="false">
      <c r="A27" s="6" t="n">
        <v>180</v>
      </c>
      <c r="B27" s="19" t="n">
        <f aca="false">$A27*$B$10*B$23*$B$7-$B$16</f>
        <v>56003</v>
      </c>
      <c r="C27" s="19" t="n">
        <f aca="false">$A27*$B$10*C$23*$B$7-$B$16</f>
        <v>107774.6</v>
      </c>
      <c r="D27" s="19" t="n">
        <f aca="false">$A27*$B$10*D$23*$B$7-$B$16</f>
        <v>167311.94</v>
      </c>
      <c r="E27" s="19" t="n">
        <f aca="false">$A27*$B$10*E$23*$B$7-$B$16</f>
        <v>211317.8</v>
      </c>
      <c r="F27" s="19" t="n">
        <f aca="false">$A27*$B$10*F$23*$B$7-$B$16</f>
        <v>263089.4</v>
      </c>
    </row>
    <row r="28" customFormat="false" ht="15" hidden="false" customHeight="false" outlineLevel="0" collapsed="false">
      <c r="A28" s="6" t="n">
        <v>210</v>
      </c>
      <c r="B28" s="19" t="n">
        <f aca="false">$A28*$B$10*B$23*$B$7-$B$16</f>
        <v>207003.5</v>
      </c>
      <c r="C28" s="19" t="n">
        <f aca="false">$A28*$B$10*C$23*$B$7-$B$16</f>
        <v>267403.7</v>
      </c>
      <c r="D28" s="19" t="n">
        <f aca="false">$A28*$B$10*D$23*$B$7-$B$16</f>
        <v>336863.93</v>
      </c>
      <c r="E28" s="19" t="n">
        <f aca="false">$A28*$B$10*E$23*$B$7-$B$16</f>
        <v>388204.1</v>
      </c>
      <c r="F28" s="19" t="n">
        <f aca="false">$A28*$B$10*F$23*$B$7-$B$16</f>
        <v>448604.3</v>
      </c>
    </row>
    <row r="29" customFormat="false" ht="15" hidden="false" customHeight="false" outlineLevel="0" collapsed="false">
      <c r="A29" s="6" t="n">
        <v>250</v>
      </c>
      <c r="B29" s="19" t="n">
        <f aca="false">$A29*$B$10*B$23*$B$7-$B$16</f>
        <v>408337.5</v>
      </c>
      <c r="C29" s="19" t="n">
        <f aca="false">$A29*$B$10*C$23*$B$7-$B$16</f>
        <v>480242.5</v>
      </c>
      <c r="D29" s="19" t="n">
        <f aca="false">$A29*$B$10*D$23*$B$7-$B$16</f>
        <v>562933.25</v>
      </c>
      <c r="E29" s="19" t="n">
        <f aca="false">$A29*$B$10*E$23*$B$7-$B$16</f>
        <v>624052.5</v>
      </c>
      <c r="F29" s="19" t="n">
        <f aca="false">$A29*$B$10*F$23*$B$7-$B$16</f>
        <v>695957.5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870</v>
      </c>
    </row>
    <row r="2" customFormat="false" ht="15" hidden="false" customHeight="false" outlineLevel="0" collapsed="false">
      <c r="A2" s="2" t="s">
        <v>871</v>
      </c>
    </row>
    <row r="4" customFormat="false" ht="15" hidden="false" customHeight="false" outlineLevel="0" collapsed="false">
      <c r="A4" s="3" t="s">
        <v>872</v>
      </c>
      <c r="B4" s="3" t="s">
        <v>846</v>
      </c>
      <c r="C4" s="3" t="s">
        <v>103</v>
      </c>
      <c r="D4" s="3" t="s">
        <v>115</v>
      </c>
    </row>
    <row r="5" customFormat="false" ht="15" hidden="false" customHeight="false" outlineLevel="0" collapsed="false">
      <c r="A5" s="0" t="s">
        <v>873</v>
      </c>
      <c r="B5" s="6" t="n">
        <v>19432</v>
      </c>
      <c r="C5" s="14" t="s">
        <v>874</v>
      </c>
      <c r="D5" s="14" t="s">
        <v>875</v>
      </c>
    </row>
    <row r="6" customFormat="false" ht="15" hidden="false" customHeight="false" outlineLevel="0" collapsed="false">
      <c r="A6" s="0" t="s">
        <v>876</v>
      </c>
      <c r="B6" s="6" t="n">
        <v>59644</v>
      </c>
      <c r="C6" s="14" t="s">
        <v>874</v>
      </c>
      <c r="D6" s="14" t="s">
        <v>875</v>
      </c>
    </row>
    <row r="7" customFormat="false" ht="15" hidden="false" customHeight="false" outlineLevel="0" collapsed="false">
      <c r="A7" s="0" t="s">
        <v>877</v>
      </c>
      <c r="B7" s="23" t="n">
        <v>94.9</v>
      </c>
      <c r="C7" s="14" t="s">
        <v>874</v>
      </c>
      <c r="D7" s="14" t="s">
        <v>875</v>
      </c>
    </row>
    <row r="8" customFormat="false" ht="15" hidden="false" customHeight="false" outlineLevel="0" collapsed="false">
      <c r="A8" s="0" t="s">
        <v>878</v>
      </c>
      <c r="B8" s="16" t="n">
        <v>0.197</v>
      </c>
      <c r="C8" s="14" t="s">
        <v>874</v>
      </c>
      <c r="D8" s="14" t="s">
        <v>875</v>
      </c>
    </row>
    <row r="9" customFormat="false" ht="15" hidden="false" customHeight="false" outlineLevel="0" collapsed="false">
      <c r="A9" s="0" t="s">
        <v>873</v>
      </c>
      <c r="B9" s="6" t="n">
        <v>18984</v>
      </c>
      <c r="C9" s="14" t="s">
        <v>879</v>
      </c>
      <c r="D9" s="14" t="s">
        <v>880</v>
      </c>
    </row>
    <row r="10" customFormat="false" ht="15" hidden="false" customHeight="false" outlineLevel="0" collapsed="false">
      <c r="A10" s="0" t="s">
        <v>876</v>
      </c>
      <c r="B10" s="6" t="n">
        <v>67601</v>
      </c>
      <c r="C10" s="14" t="s">
        <v>879</v>
      </c>
      <c r="D10" s="14" t="s">
        <v>880</v>
      </c>
    </row>
    <row r="11" customFormat="false" ht="15" hidden="false" customHeight="false" outlineLevel="0" collapsed="false">
      <c r="A11" s="0" t="s">
        <v>877</v>
      </c>
      <c r="B11" s="23" t="n">
        <v>103</v>
      </c>
      <c r="C11" s="14" t="s">
        <v>879</v>
      </c>
      <c r="D11" s="14" t="s">
        <v>880</v>
      </c>
    </row>
    <row r="12" customFormat="false" ht="15" hidden="false" customHeight="false" outlineLevel="0" collapsed="false">
      <c r="A12" s="0" t="s">
        <v>873</v>
      </c>
      <c r="B12" s="6" t="n">
        <v>18960</v>
      </c>
      <c r="C12" s="14" t="s">
        <v>139</v>
      </c>
      <c r="D12" s="14" t="s">
        <v>881</v>
      </c>
    </row>
    <row r="13" customFormat="false" ht="15" hidden="false" customHeight="false" outlineLevel="0" collapsed="false">
      <c r="A13" s="0" t="s">
        <v>876</v>
      </c>
      <c r="B13" s="6" t="n">
        <v>65795</v>
      </c>
      <c r="C13" s="14" t="s">
        <v>139</v>
      </c>
      <c r="D13" s="14" t="s">
        <v>881</v>
      </c>
    </row>
    <row r="14" customFormat="false" ht="15" hidden="false" customHeight="false" outlineLevel="0" collapsed="false">
      <c r="A14" s="0" t="s">
        <v>877</v>
      </c>
      <c r="B14" s="23" t="n">
        <v>103</v>
      </c>
      <c r="C14" s="14" t="s">
        <v>139</v>
      </c>
      <c r="D14" s="14" t="s">
        <v>881</v>
      </c>
    </row>
    <row r="15" customFormat="false" ht="15" hidden="false" customHeight="false" outlineLevel="0" collapsed="false">
      <c r="A15" s="0" t="s">
        <v>882</v>
      </c>
      <c r="B15" s="23" t="n">
        <v>110.3</v>
      </c>
      <c r="C15" s="14" t="s">
        <v>883</v>
      </c>
      <c r="D15" s="14" t="s">
        <v>884</v>
      </c>
    </row>
    <row r="16" customFormat="false" ht="15" hidden="false" customHeight="false" outlineLevel="0" collapsed="false">
      <c r="A16" s="0" t="s">
        <v>885</v>
      </c>
      <c r="B16" s="24" t="n">
        <v>3.69</v>
      </c>
      <c r="C16" s="14" t="s">
        <v>883</v>
      </c>
      <c r="D16" s="14" t="s">
        <v>884</v>
      </c>
    </row>
    <row r="17" customFormat="false" ht="15" hidden="false" customHeight="false" outlineLevel="0" collapsed="false">
      <c r="A17" s="0" t="s">
        <v>882</v>
      </c>
      <c r="B17" s="23" t="n">
        <v>115.8</v>
      </c>
      <c r="C17" s="14" t="s">
        <v>886</v>
      </c>
      <c r="D17" s="14" t="s">
        <v>884</v>
      </c>
    </row>
    <row r="18" customFormat="false" ht="15" hidden="false" customHeight="false" outlineLevel="0" collapsed="false">
      <c r="A18" s="0" t="s">
        <v>885</v>
      </c>
      <c r="B18" s="24" t="n">
        <v>2.17</v>
      </c>
      <c r="C18" s="14" t="s">
        <v>886</v>
      </c>
      <c r="D18" s="14" t="s">
        <v>884</v>
      </c>
    </row>
    <row r="19" customFormat="false" ht="15" hidden="false" customHeight="false" outlineLevel="0" collapsed="false">
      <c r="A19" s="0" t="s">
        <v>887</v>
      </c>
      <c r="B19" s="23" t="n">
        <v>1.2</v>
      </c>
      <c r="C19" s="14" t="s">
        <v>886</v>
      </c>
      <c r="D19" s="14" t="s">
        <v>888</v>
      </c>
    </row>
    <row r="20" customFormat="false" ht="15" hidden="false" customHeight="false" outlineLevel="0" collapsed="false">
      <c r="A20" s="0" t="s">
        <v>889</v>
      </c>
      <c r="B20" s="6" t="n">
        <v>8560</v>
      </c>
      <c r="C20" s="14" t="s">
        <v>886</v>
      </c>
      <c r="D20" s="14" t="s">
        <v>888</v>
      </c>
    </row>
    <row r="21" customFormat="false" ht="15" hidden="false" customHeight="false" outlineLevel="0" collapsed="false">
      <c r="A21" s="0" t="s">
        <v>890</v>
      </c>
      <c r="B21" s="23" t="n">
        <v>1.8</v>
      </c>
      <c r="C21" s="14" t="s">
        <v>139</v>
      </c>
      <c r="D21" s="14" t="s">
        <v>891</v>
      </c>
    </row>
    <row r="22" customFormat="false" ht="15" hidden="false" customHeight="false" outlineLevel="0" collapsed="false">
      <c r="A22" s="0" t="s">
        <v>892</v>
      </c>
      <c r="B22" s="16" t="n">
        <v>0.285</v>
      </c>
      <c r="C22" s="14" t="s">
        <v>139</v>
      </c>
      <c r="D22" s="14" t="s">
        <v>891</v>
      </c>
    </row>
    <row r="23" customFormat="false" ht="15" hidden="false" customHeight="false" outlineLevel="0" collapsed="false">
      <c r="A23" s="0" t="s">
        <v>893</v>
      </c>
      <c r="B23" s="6" t="n">
        <v>243</v>
      </c>
      <c r="C23" s="14" t="s">
        <v>139</v>
      </c>
      <c r="D23" s="14" t="s">
        <v>891</v>
      </c>
    </row>
    <row r="24" customFormat="false" ht="15" hidden="false" customHeight="false" outlineLevel="0" collapsed="false">
      <c r="A24" s="0" t="s">
        <v>894</v>
      </c>
      <c r="B24" s="18" t="n">
        <v>140920</v>
      </c>
      <c r="C24" s="14" t="s">
        <v>139</v>
      </c>
      <c r="D24" s="14" t="s">
        <v>895</v>
      </c>
    </row>
    <row r="25" customFormat="false" ht="15" hidden="false" customHeight="false" outlineLevel="0" collapsed="false">
      <c r="A25" s="0" t="s">
        <v>896</v>
      </c>
      <c r="B25" s="18" t="n">
        <v>138740</v>
      </c>
      <c r="C25" s="14" t="s">
        <v>139</v>
      </c>
      <c r="D25" s="14" t="s">
        <v>895</v>
      </c>
    </row>
    <row r="26" customFormat="false" ht="15" hidden="false" customHeight="false" outlineLevel="0" collapsed="false">
      <c r="A26" s="0" t="s">
        <v>897</v>
      </c>
      <c r="B26" s="18" t="n">
        <v>140730</v>
      </c>
      <c r="C26" s="14" t="s">
        <v>139</v>
      </c>
      <c r="D26" s="14" t="s">
        <v>895</v>
      </c>
    </row>
    <row r="27" customFormat="false" ht="15" hidden="false" customHeight="false" outlineLevel="0" collapsed="false">
      <c r="A27" s="0" t="s">
        <v>898</v>
      </c>
      <c r="B27" s="18" t="n">
        <v>140260</v>
      </c>
      <c r="C27" s="14" t="s">
        <v>139</v>
      </c>
      <c r="D27" s="14" t="s">
        <v>895</v>
      </c>
    </row>
    <row r="28" customFormat="false" ht="15" hidden="false" customHeight="false" outlineLevel="0" collapsed="false">
      <c r="A28" s="0" t="s">
        <v>899</v>
      </c>
      <c r="B28" s="18" t="n">
        <v>141990</v>
      </c>
      <c r="C28" s="14" t="s">
        <v>139</v>
      </c>
      <c r="D28" s="14" t="s">
        <v>895</v>
      </c>
    </row>
    <row r="29" customFormat="false" ht="15" hidden="false" customHeight="false" outlineLevel="0" collapsed="false">
      <c r="A29" s="0" t="s">
        <v>900</v>
      </c>
      <c r="B29" s="18" t="n">
        <v>141350</v>
      </c>
      <c r="C29" s="14" t="s">
        <v>139</v>
      </c>
      <c r="D29" s="14" t="s">
        <v>895</v>
      </c>
    </row>
    <row r="30" customFormat="false" ht="15" hidden="false" customHeight="false" outlineLevel="0" collapsed="false">
      <c r="A30" s="0" t="s">
        <v>901</v>
      </c>
      <c r="B30" s="18" t="n">
        <v>147290</v>
      </c>
      <c r="C30" s="14" t="s">
        <v>139</v>
      </c>
      <c r="D30" s="14" t="s">
        <v>895</v>
      </c>
    </row>
    <row r="31" customFormat="false" ht="15" hidden="false" customHeight="false" outlineLevel="0" collapsed="false">
      <c r="A31" s="0" t="s">
        <v>902</v>
      </c>
      <c r="B31" s="18" t="n">
        <v>131300</v>
      </c>
      <c r="C31" s="14" t="s">
        <v>139</v>
      </c>
      <c r="D31" s="14" t="s">
        <v>895</v>
      </c>
    </row>
    <row r="32" customFormat="false" ht="15" hidden="false" customHeight="false" outlineLevel="0" collapsed="false">
      <c r="A32" s="0" t="s">
        <v>903</v>
      </c>
      <c r="B32" s="18" t="n">
        <v>46620</v>
      </c>
      <c r="C32" s="14" t="s">
        <v>139</v>
      </c>
      <c r="D32" s="14" t="s">
        <v>895</v>
      </c>
    </row>
    <row r="33" customFormat="false" ht="15" hidden="false" customHeight="false" outlineLevel="0" collapsed="false">
      <c r="A33" s="0" t="s">
        <v>904</v>
      </c>
      <c r="B33" s="18" t="n">
        <v>42300</v>
      </c>
      <c r="C33" s="14" t="s">
        <v>139</v>
      </c>
      <c r="D33" s="14" t="s">
        <v>895</v>
      </c>
    </row>
    <row r="34" customFormat="false" ht="15" hidden="false" customHeight="false" outlineLevel="0" collapsed="false">
      <c r="A34" s="0" t="s">
        <v>905</v>
      </c>
      <c r="B34" s="18" t="n">
        <v>45670</v>
      </c>
      <c r="C34" s="14" t="s">
        <v>139</v>
      </c>
      <c r="D34" s="14" t="s">
        <v>895</v>
      </c>
    </row>
    <row r="35" customFormat="false" ht="15" hidden="false" customHeight="false" outlineLevel="0" collapsed="false">
      <c r="A35" s="0" t="s">
        <v>906</v>
      </c>
      <c r="B35" s="18" t="n">
        <v>46800</v>
      </c>
      <c r="C35" s="14" t="s">
        <v>139</v>
      </c>
      <c r="D35" s="14" t="s">
        <v>895</v>
      </c>
    </row>
    <row r="36" customFormat="false" ht="15" hidden="false" customHeight="false" outlineLevel="0" collapsed="false">
      <c r="A36" s="0" t="s">
        <v>907</v>
      </c>
      <c r="B36" s="18" t="n">
        <v>45330</v>
      </c>
      <c r="C36" s="14" t="s">
        <v>139</v>
      </c>
      <c r="D36" s="14" t="s">
        <v>895</v>
      </c>
    </row>
    <row r="37" customFormat="false" ht="15" hidden="false" customHeight="false" outlineLevel="0" collapsed="false">
      <c r="A37" s="0" t="s">
        <v>908</v>
      </c>
      <c r="B37" s="18" t="n">
        <v>44690</v>
      </c>
      <c r="C37" s="14" t="s">
        <v>139</v>
      </c>
      <c r="D37" s="14" t="s">
        <v>895</v>
      </c>
    </row>
    <row r="38" customFormat="false" ht="15" hidden="false" customHeight="false" outlineLevel="0" collapsed="false">
      <c r="A38" s="0" t="s">
        <v>909</v>
      </c>
      <c r="B38" s="18" t="n">
        <v>46280</v>
      </c>
      <c r="C38" s="14" t="s">
        <v>139</v>
      </c>
      <c r="D38" s="14" t="s">
        <v>895</v>
      </c>
    </row>
    <row r="39" customFormat="false" ht="15" hidden="false" customHeight="false" outlineLevel="0" collapsed="false">
      <c r="A39" s="0" t="s">
        <v>910</v>
      </c>
      <c r="B39" s="18" t="n">
        <v>40250</v>
      </c>
      <c r="C39" s="14" t="s">
        <v>139</v>
      </c>
      <c r="D39" s="14" t="s">
        <v>895</v>
      </c>
    </row>
    <row r="41" customFormat="false" ht="15" hidden="false" customHeight="false" outlineLevel="0" collapsed="false">
      <c r="A41" s="4" t="s">
        <v>911</v>
      </c>
      <c r="B41" s="8" t="n">
        <f aca="false">B16/B15</f>
        <v>0.0334542157751587</v>
      </c>
    </row>
    <row r="42" customFormat="false" ht="15" hidden="false" customHeight="false" outlineLevel="0" collapsed="false">
      <c r="A42" s="4" t="s">
        <v>912</v>
      </c>
      <c r="B42" s="8" t="n">
        <f aca="false">B18/B17</f>
        <v>0.0187392055267703</v>
      </c>
    </row>
    <row r="43" customFormat="false" ht="15" hidden="false" customHeight="false" outlineLevel="0" collapsed="false">
      <c r="A43" s="4" t="s">
        <v>913</v>
      </c>
      <c r="B43" s="21" t="n">
        <f aca="false">B18/B19</f>
        <v>1.80833333333333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914</v>
      </c>
    </row>
    <row r="2" customFormat="false" ht="15" hidden="false" customHeight="false" outlineLevel="0" collapsed="false">
      <c r="A2" s="2" t="s">
        <v>915</v>
      </c>
    </row>
    <row r="4" customFormat="false" ht="15" hidden="false" customHeight="false" outlineLevel="0" collapsed="false">
      <c r="A4" s="3" t="s">
        <v>845</v>
      </c>
      <c r="B4" s="3" t="s">
        <v>916</v>
      </c>
      <c r="C4" s="3" t="s">
        <v>917</v>
      </c>
      <c r="D4" s="3" t="s">
        <v>874</v>
      </c>
      <c r="E4" s="3" t="s">
        <v>879</v>
      </c>
      <c r="F4" s="3" t="s">
        <v>139</v>
      </c>
    </row>
    <row r="5" customFormat="false" ht="15" hidden="false" customHeight="false" outlineLevel="0" collapsed="false">
      <c r="A5" s="0" t="s">
        <v>918</v>
      </c>
      <c r="D5" s="25" t="n">
        <v>4696.95</v>
      </c>
      <c r="E5" s="25" t="n">
        <v>4773.88</v>
      </c>
      <c r="F5" s="25" t="n">
        <v>4939.37</v>
      </c>
    </row>
    <row r="6" customFormat="false" ht="15" hidden="false" customHeight="false" outlineLevel="0" collapsed="false">
      <c r="A6" s="0" t="s">
        <v>919</v>
      </c>
      <c r="D6" s="16" t="n">
        <v>0.112</v>
      </c>
      <c r="E6" s="16" t="n">
        <v>0.125</v>
      </c>
      <c r="F6" s="16" t="n">
        <v>0.136</v>
      </c>
    </row>
    <row r="7" customFormat="false" ht="15" hidden="false" customHeight="false" outlineLevel="0" collapsed="false">
      <c r="A7" s="0" t="s">
        <v>920</v>
      </c>
      <c r="B7" s="25" t="n">
        <v>146.7</v>
      </c>
      <c r="C7" s="25" t="n">
        <v>157.1</v>
      </c>
      <c r="D7" s="25" t="n">
        <v>133.1</v>
      </c>
      <c r="E7" s="25" t="n">
        <v>126.4</v>
      </c>
      <c r="F7" s="25" t="n">
        <v>113.7</v>
      </c>
    </row>
    <row r="8" customFormat="false" ht="15" hidden="false" customHeight="false" outlineLevel="0" collapsed="false">
      <c r="A8" s="0" t="s">
        <v>921</v>
      </c>
      <c r="D8" s="25" t="n">
        <v>100.9</v>
      </c>
      <c r="E8" s="25" t="n">
        <v>106</v>
      </c>
      <c r="F8" s="25" t="n">
        <v>93.7</v>
      </c>
    </row>
    <row r="9" customFormat="false" ht="15" hidden="false" customHeight="false" outlineLevel="0" collapsed="false">
      <c r="A9" s="0" t="s">
        <v>922</v>
      </c>
      <c r="D9" s="16" t="n">
        <v>0.25</v>
      </c>
      <c r="E9" s="16" t="n">
        <v>0.251</v>
      </c>
      <c r="F9" s="16" t="n">
        <v>0.251</v>
      </c>
    </row>
    <row r="10" customFormat="false" ht="15" hidden="false" customHeight="false" outlineLevel="0" collapsed="false">
      <c r="A10" s="0" t="s">
        <v>923</v>
      </c>
      <c r="B10" s="25" t="n">
        <v>86</v>
      </c>
      <c r="C10" s="25" t="n">
        <v>158</v>
      </c>
      <c r="D10" s="25" t="n">
        <v>184.2</v>
      </c>
      <c r="E10" s="25" t="n">
        <v>190.3</v>
      </c>
      <c r="F10" s="25" t="n">
        <v>117.1</v>
      </c>
    </row>
    <row r="11" customFormat="false" ht="15" hidden="false" customHeight="false" outlineLevel="0" collapsed="false">
      <c r="A11" s="0" t="s">
        <v>924</v>
      </c>
      <c r="B11" s="25" t="n">
        <v>205.7</v>
      </c>
      <c r="C11" s="25" t="n">
        <v>186.4</v>
      </c>
      <c r="D11" s="25" t="n">
        <v>226</v>
      </c>
      <c r="E11" s="25" t="n">
        <v>192</v>
      </c>
      <c r="F11" s="25" t="n">
        <v>97.1</v>
      </c>
    </row>
    <row r="12" customFormat="false" ht="15" hidden="false" customHeight="false" outlineLevel="0" collapsed="false">
      <c r="A12" s="0" t="s">
        <v>925</v>
      </c>
      <c r="B12" s="25" t="n">
        <v>227.7</v>
      </c>
      <c r="C12" s="25" t="n">
        <v>218</v>
      </c>
      <c r="D12" s="25" t="n">
        <v>201.6</v>
      </c>
      <c r="E12" s="25" t="n">
        <v>187.5</v>
      </c>
      <c r="F12" s="25" t="n">
        <v>207.2</v>
      </c>
    </row>
    <row r="13" customFormat="false" ht="15" hidden="false" customHeight="false" outlineLevel="0" collapsed="false">
      <c r="A13" s="0" t="s">
        <v>926</v>
      </c>
      <c r="B13" s="25" t="n">
        <v>151.8</v>
      </c>
      <c r="C13" s="25" t="n">
        <v>122.2</v>
      </c>
      <c r="D13" s="25" t="n">
        <v>104</v>
      </c>
      <c r="E13" s="25" t="n">
        <v>161.3</v>
      </c>
      <c r="F13" s="25" t="n">
        <v>202.4</v>
      </c>
    </row>
    <row r="14" customFormat="false" ht="15" hidden="false" customHeight="false" outlineLevel="0" collapsed="false">
      <c r="A14" s="0" t="s">
        <v>927</v>
      </c>
      <c r="D14" s="25" t="n">
        <v>98</v>
      </c>
      <c r="E14" s="25" t="n">
        <v>102.8</v>
      </c>
      <c r="F14" s="25" t="n">
        <v>112.8</v>
      </c>
    </row>
    <row r="16" customFormat="false" ht="15" hidden="false" customHeight="false" outlineLevel="0" collapsed="false">
      <c r="A16" s="4" t="s">
        <v>928</v>
      </c>
      <c r="B16" s="26" t="str">
        <f aca="false">IF(B5="","",B5*B6)</f>
        <v/>
      </c>
      <c r="C16" s="26" t="str">
        <f aca="false">IF(C5="","",C5*C6)</f>
        <v/>
      </c>
      <c r="D16" s="26" t="n">
        <f aca="false">IF(D5="","",D5*D6)</f>
        <v>526.0584</v>
      </c>
      <c r="E16" s="26" t="n">
        <f aca="false">IF(E5="","",E5*E6)</f>
        <v>596.735</v>
      </c>
      <c r="F16" s="26" t="n">
        <f aca="false">IF(F5="","",F5*F6)</f>
        <v>671.75432</v>
      </c>
    </row>
    <row r="17" customFormat="false" ht="15" hidden="false" customHeight="false" outlineLevel="0" collapsed="false">
      <c r="A17" s="4" t="s">
        <v>929</v>
      </c>
      <c r="B17" s="8" t="str">
        <f aca="false">IF(B5="","",B7/B5)</f>
        <v/>
      </c>
      <c r="C17" s="8" t="str">
        <f aca="false">IF(C5="","",C7/C5)</f>
        <v/>
      </c>
      <c r="D17" s="8" t="n">
        <f aca="false">IF(D5="","",D7/D5)</f>
        <v>0.0283375381896763</v>
      </c>
      <c r="E17" s="8" t="n">
        <f aca="false">IF(E5="","",E7/E5)</f>
        <v>0.0264774145977695</v>
      </c>
      <c r="F17" s="8" t="n">
        <f aca="false">IF(F5="","",F7/F5)</f>
        <v>0.0230191299700164</v>
      </c>
    </row>
    <row r="18" customFormat="false" ht="15" hidden="false" customHeight="false" outlineLevel="0" collapsed="false">
      <c r="A18" s="4" t="s">
        <v>930</v>
      </c>
      <c r="B18" s="26" t="n">
        <f aca="false">B10+B11</f>
        <v>291.7</v>
      </c>
      <c r="C18" s="26" t="n">
        <f aca="false">C10+C11</f>
        <v>344.4</v>
      </c>
      <c r="D18" s="26" t="n">
        <f aca="false">D10+D11</f>
        <v>410.2</v>
      </c>
      <c r="E18" s="26" t="n">
        <f aca="false">E10+E11</f>
        <v>382.3</v>
      </c>
      <c r="F18" s="26" t="n">
        <f aca="false">F10+F11</f>
        <v>214.2</v>
      </c>
    </row>
    <row r="19" customFormat="false" ht="15" hidden="false" customHeight="false" outlineLevel="0" collapsed="false">
      <c r="A19" s="4" t="s">
        <v>931</v>
      </c>
      <c r="B19" s="26" t="n">
        <f aca="false">B12-B13</f>
        <v>75.9</v>
      </c>
      <c r="C19" s="26" t="n">
        <f aca="false">C12-C13</f>
        <v>95.8</v>
      </c>
      <c r="D19" s="26" t="n">
        <f aca="false">D12-D13</f>
        <v>97.6</v>
      </c>
      <c r="E19" s="26" t="n">
        <f aca="false">E12-E13</f>
        <v>26.2</v>
      </c>
      <c r="F19" s="26" t="n">
        <f aca="false">F12-F13</f>
        <v>4.79999999999998</v>
      </c>
    </row>
    <row r="22" customFormat="false" ht="15" hidden="false" customHeight="false" outlineLevel="0" collapsed="false">
      <c r="A22" s="1" t="s">
        <v>932</v>
      </c>
    </row>
    <row r="23" customFormat="false" ht="15" hidden="false" customHeight="false" outlineLevel="0" collapsed="false">
      <c r="A23" s="0" t="s">
        <v>933</v>
      </c>
      <c r="B23" s="24" t="n">
        <v>2.53</v>
      </c>
    </row>
    <row r="24" customFormat="false" ht="15" hidden="false" customHeight="false" outlineLevel="0" collapsed="false">
      <c r="A24" s="0" t="s">
        <v>934</v>
      </c>
      <c r="B24" s="16" t="n">
        <v>0.046</v>
      </c>
    </row>
    <row r="25" customFormat="false" ht="15" hidden="false" customHeight="false" outlineLevel="0" collapsed="false">
      <c r="A25" s="0" t="s">
        <v>920</v>
      </c>
      <c r="B25" s="25" t="n">
        <v>64.8</v>
      </c>
    </row>
    <row r="26" customFormat="false" ht="15" hidden="false" customHeight="false" outlineLevel="0" collapsed="false">
      <c r="A26" s="0" t="s">
        <v>921</v>
      </c>
      <c r="B26" s="25" t="n">
        <v>50.7</v>
      </c>
    </row>
    <row r="27" customFormat="false" ht="15" hidden="false" customHeight="false" outlineLevel="0" collapsed="false">
      <c r="A27" s="0" t="s">
        <v>935</v>
      </c>
      <c r="B27" s="25" t="n">
        <v>18.2</v>
      </c>
    </row>
    <row r="28" customFormat="false" ht="15" hidden="false" customHeight="false" outlineLevel="0" collapsed="false">
      <c r="A28" s="0" t="s">
        <v>936</v>
      </c>
      <c r="B28" s="25" t="n">
        <v>103.5</v>
      </c>
    </row>
    <row r="29" customFormat="false" ht="15" hidden="false" customHeight="false" outlineLevel="0" collapsed="false">
      <c r="A29" s="0" t="s">
        <v>937</v>
      </c>
      <c r="B29" s="25" t="n">
        <v>104.5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938</v>
      </c>
    </row>
    <row r="2" customFormat="false" ht="15" hidden="false" customHeight="false" outlineLevel="0" collapsed="false">
      <c r="A2" s="2" t="s">
        <v>939</v>
      </c>
    </row>
    <row r="4" customFormat="false" ht="15" hidden="false" customHeight="false" outlineLevel="0" collapsed="false">
      <c r="A4" s="3" t="s">
        <v>940</v>
      </c>
      <c r="B4" s="3" t="s">
        <v>941</v>
      </c>
      <c r="C4" s="3" t="s">
        <v>82</v>
      </c>
      <c r="D4" s="3" t="s">
        <v>942</v>
      </c>
      <c r="E4" s="3" t="s">
        <v>154</v>
      </c>
    </row>
    <row r="5" customFormat="false" ht="15" hidden="false" customHeight="false" outlineLevel="0" collapsed="false">
      <c r="A5" s="0" t="s">
        <v>943</v>
      </c>
      <c r="B5" s="0" t="s">
        <v>944</v>
      </c>
      <c r="C5" s="0" t="s">
        <v>72</v>
      </c>
      <c r="D5" s="0" t="s">
        <v>170</v>
      </c>
      <c r="E5" s="0" t="s">
        <v>171</v>
      </c>
    </row>
    <row r="6" customFormat="false" ht="15" hidden="false" customHeight="false" outlineLevel="0" collapsed="false">
      <c r="A6" s="0" t="s">
        <v>945</v>
      </c>
      <c r="B6" s="0" t="s">
        <v>946</v>
      </c>
      <c r="C6" s="0" t="s">
        <v>72</v>
      </c>
      <c r="D6" s="0" t="s">
        <v>172</v>
      </c>
      <c r="E6" s="0" t="s">
        <v>173</v>
      </c>
    </row>
    <row r="7" customFormat="false" ht="15" hidden="false" customHeight="false" outlineLevel="0" collapsed="false">
      <c r="A7" s="0" t="s">
        <v>947</v>
      </c>
      <c r="B7" s="0" t="s">
        <v>179</v>
      </c>
      <c r="C7" s="0" t="s">
        <v>73</v>
      </c>
      <c r="D7" s="0" t="s">
        <v>180</v>
      </c>
      <c r="E7" s="0" t="s">
        <v>179</v>
      </c>
    </row>
    <row r="8" customFormat="false" ht="15" hidden="false" customHeight="false" outlineLevel="0" collapsed="false">
      <c r="A8" s="0" t="s">
        <v>948</v>
      </c>
      <c r="B8" s="0" t="s">
        <v>949</v>
      </c>
      <c r="C8" s="0" t="s">
        <v>73</v>
      </c>
      <c r="D8" s="0" t="s">
        <v>197</v>
      </c>
      <c r="E8" s="0" t="s">
        <v>198</v>
      </c>
    </row>
    <row r="9" customFormat="false" ht="15" hidden="false" customHeight="false" outlineLevel="0" collapsed="false">
      <c r="A9" s="0" t="s">
        <v>950</v>
      </c>
      <c r="B9" s="0" t="s">
        <v>951</v>
      </c>
      <c r="C9" s="0" t="s">
        <v>73</v>
      </c>
      <c r="D9" s="0" t="s">
        <v>214</v>
      </c>
      <c r="E9" s="0" t="s">
        <v>215</v>
      </c>
    </row>
    <row r="10" customFormat="false" ht="15" hidden="false" customHeight="false" outlineLevel="0" collapsed="false">
      <c r="A10" s="0" t="s">
        <v>952</v>
      </c>
      <c r="B10" s="0" t="s">
        <v>519</v>
      </c>
      <c r="C10" s="0" t="s">
        <v>73</v>
      </c>
      <c r="D10" s="0" t="s">
        <v>193</v>
      </c>
      <c r="E10" s="0" t="s">
        <v>194</v>
      </c>
    </row>
    <row r="11" customFormat="false" ht="15" hidden="false" customHeight="false" outlineLevel="0" collapsed="false">
      <c r="A11" s="0" t="s">
        <v>953</v>
      </c>
      <c r="B11" s="0" t="s">
        <v>954</v>
      </c>
      <c r="C11" s="0" t="s">
        <v>73</v>
      </c>
      <c r="D11" s="0" t="s">
        <v>210</v>
      </c>
      <c r="E11" s="0" t="s">
        <v>211</v>
      </c>
    </row>
    <row r="12" customFormat="false" ht="15" hidden="false" customHeight="false" outlineLevel="0" collapsed="false">
      <c r="A12" s="0" t="s">
        <v>955</v>
      </c>
      <c r="B12" s="0" t="s">
        <v>956</v>
      </c>
      <c r="C12" s="0" t="s">
        <v>73</v>
      </c>
      <c r="D12" s="0" t="s">
        <v>210</v>
      </c>
      <c r="E12" s="0" t="s">
        <v>211</v>
      </c>
    </row>
    <row r="13" customFormat="false" ht="15" hidden="false" customHeight="false" outlineLevel="0" collapsed="false">
      <c r="A13" s="0" t="s">
        <v>957</v>
      </c>
      <c r="B13" s="0" t="s">
        <v>958</v>
      </c>
      <c r="C13" s="0" t="s">
        <v>73</v>
      </c>
      <c r="D13" s="0" t="s">
        <v>202</v>
      </c>
      <c r="E13" s="0" t="s">
        <v>203</v>
      </c>
    </row>
    <row r="14" customFormat="false" ht="15" hidden="false" customHeight="false" outlineLevel="0" collapsed="false">
      <c r="A14" s="0" t="s">
        <v>959</v>
      </c>
      <c r="B14" s="0" t="s">
        <v>960</v>
      </c>
      <c r="C14" s="0" t="s">
        <v>73</v>
      </c>
      <c r="D14" s="0" t="s">
        <v>180</v>
      </c>
      <c r="E14" s="0" t="s">
        <v>179</v>
      </c>
    </row>
    <row r="15" customFormat="false" ht="15" hidden="false" customHeight="false" outlineLevel="0" collapsed="false">
      <c r="A15" s="0" t="s">
        <v>961</v>
      </c>
      <c r="B15" s="0" t="s">
        <v>960</v>
      </c>
      <c r="C15" s="0" t="s">
        <v>73</v>
      </c>
      <c r="D15" s="0" t="s">
        <v>180</v>
      </c>
      <c r="E15" s="0" t="s">
        <v>179</v>
      </c>
    </row>
    <row r="16" customFormat="false" ht="15" hidden="false" customHeight="false" outlineLevel="0" collapsed="false">
      <c r="A16" s="0" t="s">
        <v>962</v>
      </c>
      <c r="B16" s="0" t="s">
        <v>233</v>
      </c>
      <c r="C16" s="0" t="s">
        <v>73</v>
      </c>
      <c r="D16" s="0" t="s">
        <v>180</v>
      </c>
      <c r="E16" s="0" t="s">
        <v>179</v>
      </c>
    </row>
    <row r="17" customFormat="false" ht="15" hidden="false" customHeight="false" outlineLevel="0" collapsed="false">
      <c r="A17" s="0" t="s">
        <v>963</v>
      </c>
      <c r="B17" s="0" t="s">
        <v>194</v>
      </c>
      <c r="C17" s="0" t="s">
        <v>73</v>
      </c>
      <c r="D17" s="0" t="s">
        <v>193</v>
      </c>
      <c r="E17" s="0" t="s">
        <v>194</v>
      </c>
    </row>
    <row r="18" customFormat="false" ht="15" hidden="false" customHeight="false" outlineLevel="0" collapsed="false">
      <c r="A18" s="0" t="s">
        <v>964</v>
      </c>
      <c r="B18" s="0" t="s">
        <v>194</v>
      </c>
      <c r="C18" s="0" t="s">
        <v>73</v>
      </c>
      <c r="D18" s="0" t="s">
        <v>193</v>
      </c>
      <c r="E18" s="0" t="s">
        <v>194</v>
      </c>
    </row>
    <row r="19" customFormat="false" ht="15" hidden="false" customHeight="false" outlineLevel="0" collapsed="false">
      <c r="A19" s="0" t="s">
        <v>965</v>
      </c>
      <c r="B19" s="0" t="s">
        <v>194</v>
      </c>
      <c r="C19" s="0" t="s">
        <v>73</v>
      </c>
      <c r="D19" s="0" t="s">
        <v>193</v>
      </c>
      <c r="E19" s="0" t="s">
        <v>194</v>
      </c>
    </row>
    <row r="20" customFormat="false" ht="15" hidden="false" customHeight="false" outlineLevel="0" collapsed="false">
      <c r="A20" s="0" t="s">
        <v>966</v>
      </c>
      <c r="B20" s="0" t="s">
        <v>967</v>
      </c>
      <c r="C20" s="0" t="s">
        <v>73</v>
      </c>
      <c r="D20" s="0" t="s">
        <v>214</v>
      </c>
      <c r="E20" s="0" t="s">
        <v>215</v>
      </c>
    </row>
    <row r="21" customFormat="false" ht="15" hidden="false" customHeight="false" outlineLevel="0" collapsed="false">
      <c r="A21" s="0" t="s">
        <v>968</v>
      </c>
      <c r="B21" s="0" t="s">
        <v>967</v>
      </c>
      <c r="C21" s="0" t="s">
        <v>73</v>
      </c>
      <c r="D21" s="0" t="s">
        <v>214</v>
      </c>
      <c r="E21" s="0" t="s">
        <v>215</v>
      </c>
    </row>
    <row r="22" customFormat="false" ht="15" hidden="false" customHeight="false" outlineLevel="0" collapsed="false">
      <c r="A22" s="0" t="s">
        <v>969</v>
      </c>
      <c r="B22" s="0" t="s">
        <v>970</v>
      </c>
      <c r="C22" s="0" t="s">
        <v>73</v>
      </c>
      <c r="D22" s="0" t="s">
        <v>185</v>
      </c>
      <c r="E22" s="0" t="s">
        <v>186</v>
      </c>
    </row>
    <row r="23" customFormat="false" ht="15" hidden="false" customHeight="false" outlineLevel="0" collapsed="false">
      <c r="A23" s="0" t="s">
        <v>971</v>
      </c>
      <c r="B23" s="0" t="s">
        <v>972</v>
      </c>
      <c r="C23" s="0" t="s">
        <v>73</v>
      </c>
      <c r="D23" s="0" t="s">
        <v>197</v>
      </c>
      <c r="E23" s="0" t="s">
        <v>198</v>
      </c>
    </row>
    <row r="24" customFormat="false" ht="15" hidden="false" customHeight="false" outlineLevel="0" collapsed="false">
      <c r="A24" s="0" t="s">
        <v>973</v>
      </c>
      <c r="B24" s="0" t="s">
        <v>974</v>
      </c>
      <c r="C24" s="0" t="s">
        <v>73</v>
      </c>
      <c r="D24" s="0" t="s">
        <v>193</v>
      </c>
      <c r="E24" s="0" t="s">
        <v>194</v>
      </c>
    </row>
    <row r="25" customFormat="false" ht="15" hidden="false" customHeight="false" outlineLevel="0" collapsed="false">
      <c r="A25" s="0" t="s">
        <v>975</v>
      </c>
      <c r="B25" s="0" t="s">
        <v>976</v>
      </c>
      <c r="C25" s="0" t="s">
        <v>73</v>
      </c>
      <c r="D25" s="0" t="s">
        <v>199</v>
      </c>
      <c r="E25" s="0" t="s">
        <v>200</v>
      </c>
    </row>
    <row r="26" customFormat="false" ht="15" hidden="false" customHeight="false" outlineLevel="0" collapsed="false">
      <c r="A26" s="0" t="s">
        <v>977</v>
      </c>
      <c r="B26" s="0" t="s">
        <v>976</v>
      </c>
      <c r="C26" s="0" t="s">
        <v>73</v>
      </c>
      <c r="D26" s="0" t="s">
        <v>199</v>
      </c>
      <c r="E26" s="0" t="s">
        <v>200</v>
      </c>
    </row>
    <row r="27" customFormat="false" ht="15" hidden="false" customHeight="false" outlineLevel="0" collapsed="false">
      <c r="A27" s="0" t="s">
        <v>978</v>
      </c>
      <c r="B27" s="0" t="s">
        <v>979</v>
      </c>
      <c r="C27" s="0" t="s">
        <v>73</v>
      </c>
      <c r="D27" s="0" t="s">
        <v>181</v>
      </c>
      <c r="E27" s="0" t="s">
        <v>182</v>
      </c>
    </row>
    <row r="28" customFormat="false" ht="15" hidden="false" customHeight="false" outlineLevel="0" collapsed="false">
      <c r="A28" s="0" t="s">
        <v>980</v>
      </c>
      <c r="B28" s="0" t="s">
        <v>981</v>
      </c>
      <c r="C28" s="0" t="s">
        <v>73</v>
      </c>
      <c r="D28" s="0" t="s">
        <v>193</v>
      </c>
      <c r="E28" s="0" t="s">
        <v>194</v>
      </c>
    </row>
    <row r="29" customFormat="false" ht="15" hidden="false" customHeight="false" outlineLevel="0" collapsed="false">
      <c r="A29" s="0" t="s">
        <v>982</v>
      </c>
      <c r="B29" s="0" t="s">
        <v>983</v>
      </c>
      <c r="C29" s="0" t="s">
        <v>73</v>
      </c>
      <c r="D29" s="0" t="s">
        <v>180</v>
      </c>
      <c r="E29" s="0" t="s">
        <v>179</v>
      </c>
    </row>
    <row r="30" customFormat="false" ht="15" hidden="false" customHeight="false" outlineLevel="0" collapsed="false">
      <c r="A30" s="0" t="s">
        <v>984</v>
      </c>
      <c r="B30" s="0" t="s">
        <v>985</v>
      </c>
      <c r="C30" s="0" t="s">
        <v>73</v>
      </c>
      <c r="D30" s="0" t="s">
        <v>176</v>
      </c>
      <c r="E30" s="0" t="s">
        <v>177</v>
      </c>
    </row>
    <row r="31" customFormat="false" ht="15" hidden="false" customHeight="false" outlineLevel="0" collapsed="false">
      <c r="A31" s="0" t="s">
        <v>986</v>
      </c>
      <c r="B31" s="0" t="s">
        <v>987</v>
      </c>
      <c r="C31" s="0" t="s">
        <v>73</v>
      </c>
      <c r="D31" s="0" t="s">
        <v>180</v>
      </c>
      <c r="E31" s="0" t="s">
        <v>179</v>
      </c>
    </row>
    <row r="32" customFormat="false" ht="15" hidden="false" customHeight="false" outlineLevel="0" collapsed="false">
      <c r="A32" s="0" t="s">
        <v>988</v>
      </c>
      <c r="B32" s="0" t="s">
        <v>989</v>
      </c>
      <c r="C32" s="0" t="s">
        <v>73</v>
      </c>
      <c r="D32" s="0" t="s">
        <v>180</v>
      </c>
      <c r="E32" s="0" t="s">
        <v>179</v>
      </c>
    </row>
    <row r="33" customFormat="false" ht="15" hidden="false" customHeight="false" outlineLevel="0" collapsed="false">
      <c r="A33" s="0" t="s">
        <v>990</v>
      </c>
      <c r="B33" s="0" t="s">
        <v>991</v>
      </c>
      <c r="C33" s="0" t="s">
        <v>73</v>
      </c>
      <c r="D33" s="0" t="s">
        <v>193</v>
      </c>
      <c r="E33" s="0" t="s">
        <v>194</v>
      </c>
    </row>
    <row r="34" customFormat="false" ht="15" hidden="false" customHeight="false" outlineLevel="0" collapsed="false">
      <c r="A34" s="0" t="s">
        <v>992</v>
      </c>
      <c r="B34" s="0" t="s">
        <v>993</v>
      </c>
      <c r="C34" s="0" t="s">
        <v>73</v>
      </c>
      <c r="D34" s="0" t="s">
        <v>189</v>
      </c>
      <c r="E34" s="0" t="s">
        <v>190</v>
      </c>
    </row>
    <row r="35" customFormat="false" ht="15" hidden="false" customHeight="false" outlineLevel="0" collapsed="false">
      <c r="A35" s="0" t="s">
        <v>994</v>
      </c>
      <c r="B35" s="0" t="s">
        <v>995</v>
      </c>
      <c r="C35" s="0" t="s">
        <v>73</v>
      </c>
      <c r="D35" s="0" t="s">
        <v>185</v>
      </c>
      <c r="E35" s="0" t="s">
        <v>186</v>
      </c>
    </row>
    <row r="36" customFormat="false" ht="15" hidden="false" customHeight="false" outlineLevel="0" collapsed="false">
      <c r="A36" s="0" t="s">
        <v>996</v>
      </c>
      <c r="B36" s="0" t="s">
        <v>997</v>
      </c>
      <c r="C36" s="0" t="s">
        <v>73</v>
      </c>
      <c r="D36" s="0" t="s">
        <v>199</v>
      </c>
      <c r="E36" s="0" t="s">
        <v>200</v>
      </c>
    </row>
    <row r="37" customFormat="false" ht="15" hidden="false" customHeight="false" outlineLevel="0" collapsed="false">
      <c r="A37" s="0" t="s">
        <v>998</v>
      </c>
      <c r="B37" s="0" t="s">
        <v>290</v>
      </c>
      <c r="C37" s="0" t="s">
        <v>74</v>
      </c>
      <c r="D37" s="0" t="s">
        <v>255</v>
      </c>
      <c r="E37" s="0" t="s">
        <v>173</v>
      </c>
    </row>
    <row r="38" customFormat="false" ht="15" hidden="false" customHeight="false" outlineLevel="0" collapsed="false">
      <c r="A38" s="0" t="s">
        <v>999</v>
      </c>
      <c r="B38" s="0" t="s">
        <v>1000</v>
      </c>
      <c r="C38" s="0" t="s">
        <v>74</v>
      </c>
      <c r="D38" s="0" t="s">
        <v>255</v>
      </c>
      <c r="E38" s="0" t="s">
        <v>173</v>
      </c>
    </row>
    <row r="39" customFormat="false" ht="15" hidden="false" customHeight="false" outlineLevel="0" collapsed="false">
      <c r="A39" s="0" t="s">
        <v>1001</v>
      </c>
      <c r="B39" s="0" t="s">
        <v>1002</v>
      </c>
      <c r="C39" s="0" t="s">
        <v>75</v>
      </c>
      <c r="D39" s="0" t="s">
        <v>265</v>
      </c>
      <c r="E39" s="0" t="s">
        <v>266</v>
      </c>
    </row>
    <row r="40" customFormat="false" ht="15" hidden="false" customHeight="false" outlineLevel="0" collapsed="false">
      <c r="A40" s="0" t="s">
        <v>1003</v>
      </c>
      <c r="B40" s="0" t="s">
        <v>1004</v>
      </c>
      <c r="C40" s="0" t="s">
        <v>75</v>
      </c>
      <c r="D40" s="0" t="s">
        <v>273</v>
      </c>
      <c r="E40" s="0" t="s">
        <v>274</v>
      </c>
    </row>
    <row r="41" customFormat="false" ht="15" hidden="false" customHeight="false" outlineLevel="0" collapsed="false">
      <c r="A41" s="0" t="s">
        <v>1005</v>
      </c>
      <c r="B41" s="0" t="s">
        <v>1006</v>
      </c>
      <c r="C41" s="0" t="s">
        <v>75</v>
      </c>
      <c r="D41" s="0" t="s">
        <v>265</v>
      </c>
      <c r="E41" s="0" t="s">
        <v>266</v>
      </c>
    </row>
    <row r="42" customFormat="false" ht="15" hidden="false" customHeight="false" outlineLevel="0" collapsed="false">
      <c r="A42" s="0" t="s">
        <v>1007</v>
      </c>
      <c r="B42" s="0" t="s">
        <v>1008</v>
      </c>
      <c r="C42" s="0" t="s">
        <v>76</v>
      </c>
      <c r="D42" s="0" t="s">
        <v>444</v>
      </c>
      <c r="E42" s="0" t="s">
        <v>445</v>
      </c>
    </row>
    <row r="43" customFormat="false" ht="15" hidden="false" customHeight="false" outlineLevel="0" collapsed="false">
      <c r="A43" s="0" t="s">
        <v>1009</v>
      </c>
      <c r="B43" s="0" t="s">
        <v>1008</v>
      </c>
      <c r="C43" s="0" t="s">
        <v>76</v>
      </c>
      <c r="D43" s="0" t="s">
        <v>444</v>
      </c>
      <c r="E43" s="0" t="s">
        <v>445</v>
      </c>
    </row>
    <row r="44" customFormat="false" ht="15" hidden="false" customHeight="false" outlineLevel="0" collapsed="false">
      <c r="A44" s="0" t="s">
        <v>1010</v>
      </c>
      <c r="B44" s="0" t="s">
        <v>1011</v>
      </c>
      <c r="C44" s="0" t="s">
        <v>76</v>
      </c>
      <c r="D44" s="0" t="s">
        <v>389</v>
      </c>
      <c r="E44" s="0" t="s">
        <v>390</v>
      </c>
    </row>
    <row r="45" customFormat="false" ht="15" hidden="false" customHeight="false" outlineLevel="0" collapsed="false">
      <c r="A45" s="0" t="s">
        <v>1012</v>
      </c>
      <c r="B45" s="0" t="s">
        <v>1013</v>
      </c>
      <c r="C45" s="0" t="s">
        <v>76</v>
      </c>
      <c r="D45" s="0" t="s">
        <v>403</v>
      </c>
      <c r="E45" s="0" t="s">
        <v>404</v>
      </c>
    </row>
    <row r="46" customFormat="false" ht="15" hidden="false" customHeight="false" outlineLevel="0" collapsed="false">
      <c r="A46" s="0" t="s">
        <v>1014</v>
      </c>
      <c r="B46" s="0" t="s">
        <v>1015</v>
      </c>
      <c r="C46" s="0" t="s">
        <v>76</v>
      </c>
      <c r="D46" s="0" t="s">
        <v>412</v>
      </c>
      <c r="E46" s="0" t="s">
        <v>280</v>
      </c>
    </row>
    <row r="47" customFormat="false" ht="15" hidden="false" customHeight="false" outlineLevel="0" collapsed="false">
      <c r="A47" s="0" t="s">
        <v>1016</v>
      </c>
      <c r="B47" s="0" t="s">
        <v>1017</v>
      </c>
      <c r="C47" s="0" t="s">
        <v>76</v>
      </c>
      <c r="D47" s="0" t="s">
        <v>459</v>
      </c>
      <c r="E47" s="0" t="s">
        <v>460</v>
      </c>
    </row>
    <row r="48" customFormat="false" ht="15" hidden="false" customHeight="false" outlineLevel="0" collapsed="false">
      <c r="A48" s="0" t="s">
        <v>1018</v>
      </c>
      <c r="B48" s="0" t="s">
        <v>1019</v>
      </c>
      <c r="C48" s="0" t="s">
        <v>76</v>
      </c>
      <c r="D48" s="0" t="s">
        <v>412</v>
      </c>
      <c r="E48" s="0" t="s">
        <v>280</v>
      </c>
    </row>
    <row r="49" customFormat="false" ht="15" hidden="false" customHeight="false" outlineLevel="0" collapsed="false">
      <c r="A49" s="0" t="s">
        <v>1020</v>
      </c>
      <c r="B49" s="0" t="s">
        <v>1021</v>
      </c>
      <c r="C49" s="0" t="s">
        <v>76</v>
      </c>
      <c r="D49" s="0" t="s">
        <v>455</v>
      </c>
      <c r="E49" s="0" t="s">
        <v>312</v>
      </c>
    </row>
    <row r="50" customFormat="false" ht="15" hidden="false" customHeight="false" outlineLevel="0" collapsed="false">
      <c r="A50" s="0" t="s">
        <v>1022</v>
      </c>
      <c r="B50" s="0" t="s">
        <v>1023</v>
      </c>
      <c r="C50" s="0" t="s">
        <v>76</v>
      </c>
      <c r="D50" s="0" t="s">
        <v>453</v>
      </c>
      <c r="E50" s="0" t="s">
        <v>454</v>
      </c>
    </row>
    <row r="51" customFormat="false" ht="15" hidden="false" customHeight="false" outlineLevel="0" collapsed="false">
      <c r="A51" s="0" t="s">
        <v>1024</v>
      </c>
      <c r="B51" s="0" t="s">
        <v>1025</v>
      </c>
      <c r="C51" s="0" t="s">
        <v>76</v>
      </c>
      <c r="D51" s="0" t="s">
        <v>415</v>
      </c>
      <c r="E51" s="0" t="s">
        <v>231</v>
      </c>
    </row>
    <row r="52" customFormat="false" ht="15" hidden="false" customHeight="false" outlineLevel="0" collapsed="false">
      <c r="A52" s="0" t="s">
        <v>1026</v>
      </c>
      <c r="B52" s="0" t="s">
        <v>1027</v>
      </c>
      <c r="C52" s="0" t="s">
        <v>76</v>
      </c>
      <c r="D52" s="0" t="s">
        <v>415</v>
      </c>
      <c r="E52" s="0" t="s">
        <v>231</v>
      </c>
    </row>
    <row r="53" customFormat="false" ht="15" hidden="false" customHeight="false" outlineLevel="0" collapsed="false">
      <c r="A53" s="0" t="s">
        <v>1028</v>
      </c>
      <c r="B53" s="0" t="s">
        <v>1029</v>
      </c>
      <c r="C53" s="0" t="s">
        <v>76</v>
      </c>
      <c r="D53" s="0" t="s">
        <v>426</v>
      </c>
      <c r="E53" s="0" t="s">
        <v>290</v>
      </c>
    </row>
    <row r="54" customFormat="false" ht="15" hidden="false" customHeight="false" outlineLevel="0" collapsed="false">
      <c r="A54" s="0" t="s">
        <v>1030</v>
      </c>
      <c r="B54" s="0" t="s">
        <v>1031</v>
      </c>
      <c r="C54" s="0" t="s">
        <v>76</v>
      </c>
      <c r="D54" s="0" t="s">
        <v>436</v>
      </c>
      <c r="E54" s="0" t="s">
        <v>437</v>
      </c>
    </row>
    <row r="55" customFormat="false" ht="15" hidden="false" customHeight="false" outlineLevel="0" collapsed="false">
      <c r="A55" s="0" t="s">
        <v>1032</v>
      </c>
      <c r="B55" s="0" t="s">
        <v>1033</v>
      </c>
      <c r="C55" s="0" t="s">
        <v>76</v>
      </c>
      <c r="D55" s="0" t="s">
        <v>456</v>
      </c>
      <c r="E55" s="0" t="s">
        <v>203</v>
      </c>
    </row>
    <row r="56" customFormat="false" ht="15" hidden="false" customHeight="false" outlineLevel="0" collapsed="false">
      <c r="A56" s="0" t="s">
        <v>1034</v>
      </c>
      <c r="B56" s="0" t="s">
        <v>1035</v>
      </c>
      <c r="C56" s="0" t="s">
        <v>76</v>
      </c>
      <c r="D56" s="0" t="s">
        <v>446</v>
      </c>
      <c r="E56" s="0" t="s">
        <v>447</v>
      </c>
    </row>
    <row r="57" customFormat="false" ht="15" hidden="false" customHeight="false" outlineLevel="0" collapsed="false">
      <c r="A57" s="0" t="s">
        <v>1036</v>
      </c>
      <c r="B57" s="0" t="s">
        <v>1037</v>
      </c>
      <c r="C57" s="0" t="s">
        <v>76</v>
      </c>
      <c r="D57" s="0" t="s">
        <v>467</v>
      </c>
      <c r="E57" s="0" t="s">
        <v>468</v>
      </c>
    </row>
    <row r="58" customFormat="false" ht="15" hidden="false" customHeight="false" outlineLevel="0" collapsed="false">
      <c r="A58" s="0" t="s">
        <v>1038</v>
      </c>
      <c r="B58" s="0" t="s">
        <v>1039</v>
      </c>
      <c r="C58" s="0" t="s">
        <v>76</v>
      </c>
      <c r="D58" s="0" t="s">
        <v>489</v>
      </c>
      <c r="E58" s="0" t="s">
        <v>490</v>
      </c>
    </row>
    <row r="59" customFormat="false" ht="15" hidden="false" customHeight="false" outlineLevel="0" collapsed="false">
      <c r="A59" s="0" t="s">
        <v>1040</v>
      </c>
      <c r="B59" s="0" t="s">
        <v>1041</v>
      </c>
      <c r="C59" s="0" t="s">
        <v>76</v>
      </c>
      <c r="D59" s="0" t="s">
        <v>446</v>
      </c>
      <c r="E59" s="0" t="s">
        <v>447</v>
      </c>
    </row>
    <row r="60" customFormat="false" ht="15" hidden="false" customHeight="false" outlineLevel="0" collapsed="false">
      <c r="A60" s="0" t="s">
        <v>1042</v>
      </c>
      <c r="B60" s="0" t="s">
        <v>1043</v>
      </c>
      <c r="C60" s="0" t="s">
        <v>76</v>
      </c>
      <c r="D60" s="0" t="s">
        <v>377</v>
      </c>
      <c r="E60" s="0" t="s">
        <v>378</v>
      </c>
    </row>
    <row r="61" customFormat="false" ht="15" hidden="false" customHeight="false" outlineLevel="0" collapsed="false">
      <c r="A61" s="0" t="s">
        <v>1044</v>
      </c>
      <c r="B61" s="0" t="s">
        <v>1045</v>
      </c>
      <c r="C61" s="0" t="s">
        <v>76</v>
      </c>
      <c r="D61" s="0" t="s">
        <v>455</v>
      </c>
      <c r="E61" s="0" t="s">
        <v>312</v>
      </c>
    </row>
    <row r="62" customFormat="false" ht="15" hidden="false" customHeight="false" outlineLevel="0" collapsed="false">
      <c r="A62" s="0" t="s">
        <v>1046</v>
      </c>
      <c r="B62" s="0" t="s">
        <v>1047</v>
      </c>
      <c r="C62" s="0" t="s">
        <v>76</v>
      </c>
      <c r="D62" s="0" t="s">
        <v>459</v>
      </c>
      <c r="E62" s="0" t="s">
        <v>460</v>
      </c>
    </row>
    <row r="63" customFormat="false" ht="15" hidden="false" customHeight="false" outlineLevel="0" collapsed="false">
      <c r="A63" s="0" t="s">
        <v>1048</v>
      </c>
      <c r="B63" s="0" t="s">
        <v>1047</v>
      </c>
      <c r="C63" s="0" t="s">
        <v>76</v>
      </c>
      <c r="D63" s="0" t="s">
        <v>459</v>
      </c>
      <c r="E63" s="0" t="s">
        <v>460</v>
      </c>
    </row>
    <row r="64" customFormat="false" ht="15" hidden="false" customHeight="false" outlineLevel="0" collapsed="false">
      <c r="A64" s="0" t="s">
        <v>1049</v>
      </c>
      <c r="B64" s="0" t="s">
        <v>1050</v>
      </c>
      <c r="C64" s="0" t="s">
        <v>76</v>
      </c>
      <c r="D64" s="0" t="s">
        <v>438</v>
      </c>
      <c r="E64" s="0" t="s">
        <v>439</v>
      </c>
    </row>
    <row r="65" customFormat="false" ht="15" hidden="false" customHeight="false" outlineLevel="0" collapsed="false">
      <c r="A65" s="0" t="s">
        <v>1051</v>
      </c>
      <c r="B65" s="0" t="s">
        <v>1052</v>
      </c>
      <c r="C65" s="0" t="s">
        <v>76</v>
      </c>
      <c r="D65" s="0" t="s">
        <v>444</v>
      </c>
      <c r="E65" s="0" t="s">
        <v>445</v>
      </c>
    </row>
    <row r="66" customFormat="false" ht="15" hidden="false" customHeight="false" outlineLevel="0" collapsed="false">
      <c r="A66" s="0" t="s">
        <v>1053</v>
      </c>
      <c r="B66" s="0" t="s">
        <v>1054</v>
      </c>
      <c r="C66" s="0" t="s">
        <v>76</v>
      </c>
      <c r="D66" s="0" t="s">
        <v>415</v>
      </c>
      <c r="E66" s="0" t="s">
        <v>231</v>
      </c>
    </row>
    <row r="67" customFormat="false" ht="15" hidden="false" customHeight="false" outlineLevel="0" collapsed="false">
      <c r="A67" s="0" t="s">
        <v>1055</v>
      </c>
      <c r="B67" s="0" t="s">
        <v>1056</v>
      </c>
      <c r="C67" s="0" t="s">
        <v>76</v>
      </c>
      <c r="D67" s="0" t="s">
        <v>438</v>
      </c>
      <c r="E67" s="0" t="s">
        <v>439</v>
      </c>
    </row>
    <row r="68" customFormat="false" ht="15" hidden="false" customHeight="false" outlineLevel="0" collapsed="false">
      <c r="A68" s="0" t="s">
        <v>1057</v>
      </c>
      <c r="B68" s="0" t="s">
        <v>1058</v>
      </c>
      <c r="C68" s="0" t="s">
        <v>76</v>
      </c>
      <c r="D68" s="0" t="s">
        <v>444</v>
      </c>
      <c r="E68" s="0" t="s">
        <v>445</v>
      </c>
    </row>
    <row r="69" customFormat="false" ht="15" hidden="false" customHeight="false" outlineLevel="0" collapsed="false">
      <c r="A69" s="0" t="s">
        <v>1059</v>
      </c>
      <c r="B69" s="0" t="s">
        <v>1060</v>
      </c>
      <c r="C69" s="0" t="s">
        <v>76</v>
      </c>
      <c r="D69" s="0" t="s">
        <v>438</v>
      </c>
      <c r="E69" s="0" t="s">
        <v>439</v>
      </c>
    </row>
    <row r="70" customFormat="false" ht="15" hidden="false" customHeight="false" outlineLevel="0" collapsed="false">
      <c r="A70" s="0" t="s">
        <v>1061</v>
      </c>
      <c r="B70" s="0" t="s">
        <v>1062</v>
      </c>
      <c r="C70" s="0" t="s">
        <v>76</v>
      </c>
      <c r="D70" s="0" t="s">
        <v>387</v>
      </c>
      <c r="E70" s="0" t="s">
        <v>388</v>
      </c>
    </row>
    <row r="71" customFormat="false" ht="15" hidden="false" customHeight="false" outlineLevel="0" collapsed="false">
      <c r="A71" s="0" t="s">
        <v>1063</v>
      </c>
      <c r="B71" s="0" t="s">
        <v>1064</v>
      </c>
      <c r="C71" s="0" t="s">
        <v>76</v>
      </c>
    </row>
    <row r="72" customFormat="false" ht="15" hidden="false" customHeight="false" outlineLevel="0" collapsed="false">
      <c r="A72" s="0" t="s">
        <v>1065</v>
      </c>
      <c r="B72" s="0" t="s">
        <v>593</v>
      </c>
      <c r="C72" s="0" t="s">
        <v>76</v>
      </c>
      <c r="D72" s="0" t="s">
        <v>489</v>
      </c>
      <c r="E72" s="0" t="s">
        <v>490</v>
      </c>
    </row>
    <row r="73" customFormat="false" ht="15" hidden="false" customHeight="false" outlineLevel="0" collapsed="false">
      <c r="A73" s="0" t="s">
        <v>1066</v>
      </c>
      <c r="B73" s="0" t="s">
        <v>593</v>
      </c>
      <c r="C73" s="0" t="s">
        <v>76</v>
      </c>
      <c r="D73" s="0" t="s">
        <v>489</v>
      </c>
      <c r="E73" s="0" t="s">
        <v>490</v>
      </c>
    </row>
    <row r="74" customFormat="false" ht="15" hidden="false" customHeight="false" outlineLevel="0" collapsed="false">
      <c r="A74" s="0" t="s">
        <v>1067</v>
      </c>
      <c r="B74" s="0" t="s">
        <v>1068</v>
      </c>
      <c r="C74" s="0" t="s">
        <v>76</v>
      </c>
      <c r="D74" s="0" t="s">
        <v>416</v>
      </c>
      <c r="E74" s="0" t="s">
        <v>417</v>
      </c>
    </row>
    <row r="75" customFormat="false" ht="15" hidden="false" customHeight="false" outlineLevel="0" collapsed="false">
      <c r="A75" s="0" t="s">
        <v>1069</v>
      </c>
      <c r="B75" s="0" t="s">
        <v>1068</v>
      </c>
      <c r="C75" s="0" t="s">
        <v>76</v>
      </c>
      <c r="D75" s="0" t="s">
        <v>416</v>
      </c>
      <c r="E75" s="0" t="s">
        <v>417</v>
      </c>
    </row>
    <row r="76" customFormat="false" ht="15" hidden="false" customHeight="false" outlineLevel="0" collapsed="false">
      <c r="A76" s="0" t="s">
        <v>1070</v>
      </c>
      <c r="B76" s="0" t="s">
        <v>1071</v>
      </c>
      <c r="C76" s="0" t="s">
        <v>76</v>
      </c>
      <c r="D76" s="0" t="s">
        <v>446</v>
      </c>
      <c r="E76" s="0" t="s">
        <v>447</v>
      </c>
    </row>
    <row r="77" customFormat="false" ht="15" hidden="false" customHeight="false" outlineLevel="0" collapsed="false">
      <c r="A77" s="0" t="s">
        <v>1072</v>
      </c>
      <c r="B77" s="0" t="s">
        <v>1073</v>
      </c>
      <c r="C77" s="0" t="s">
        <v>76</v>
      </c>
      <c r="D77" s="0" t="s">
        <v>485</v>
      </c>
      <c r="E77" s="0" t="s">
        <v>370</v>
      </c>
    </row>
    <row r="78" customFormat="false" ht="15" hidden="false" customHeight="false" outlineLevel="0" collapsed="false">
      <c r="A78" s="0" t="s">
        <v>1074</v>
      </c>
      <c r="B78" s="0" t="s">
        <v>430</v>
      </c>
      <c r="C78" s="0" t="s">
        <v>76</v>
      </c>
      <c r="D78" s="0" t="s">
        <v>429</v>
      </c>
      <c r="E78" s="0" t="s">
        <v>430</v>
      </c>
    </row>
    <row r="79" customFormat="false" ht="15" hidden="false" customHeight="false" outlineLevel="0" collapsed="false">
      <c r="A79" s="0" t="s">
        <v>1075</v>
      </c>
      <c r="B79" s="0" t="s">
        <v>1076</v>
      </c>
      <c r="C79" s="0" t="s">
        <v>76</v>
      </c>
      <c r="D79" s="0" t="s">
        <v>448</v>
      </c>
      <c r="E79" s="0" t="s">
        <v>449</v>
      </c>
    </row>
    <row r="80" customFormat="false" ht="15" hidden="false" customHeight="false" outlineLevel="0" collapsed="false">
      <c r="A80" s="0" t="s">
        <v>1077</v>
      </c>
      <c r="B80" s="0" t="s">
        <v>1078</v>
      </c>
      <c r="C80" s="0" t="s">
        <v>76</v>
      </c>
      <c r="D80" s="0" t="s">
        <v>387</v>
      </c>
      <c r="E80" s="0" t="s">
        <v>388</v>
      </c>
    </row>
    <row r="81" customFormat="false" ht="15" hidden="false" customHeight="false" outlineLevel="0" collapsed="false">
      <c r="A81" s="0" t="s">
        <v>1079</v>
      </c>
      <c r="B81" s="0" t="s">
        <v>439</v>
      </c>
      <c r="C81" s="0" t="s">
        <v>76</v>
      </c>
      <c r="D81" s="0" t="s">
        <v>438</v>
      </c>
      <c r="E81" s="0" t="s">
        <v>439</v>
      </c>
    </row>
    <row r="82" customFormat="false" ht="15" hidden="false" customHeight="false" outlineLevel="0" collapsed="false">
      <c r="A82" s="0" t="s">
        <v>1080</v>
      </c>
      <c r="B82" s="0" t="s">
        <v>439</v>
      </c>
      <c r="C82" s="0" t="s">
        <v>76</v>
      </c>
      <c r="D82" s="0" t="s">
        <v>438</v>
      </c>
      <c r="E82" s="0" t="s">
        <v>439</v>
      </c>
    </row>
    <row r="83" customFormat="false" ht="15" hidden="false" customHeight="false" outlineLevel="0" collapsed="false">
      <c r="A83" s="0" t="s">
        <v>1081</v>
      </c>
      <c r="B83" s="0" t="s">
        <v>439</v>
      </c>
      <c r="C83" s="0" t="s">
        <v>76</v>
      </c>
      <c r="D83" s="0" t="s">
        <v>438</v>
      </c>
      <c r="E83" s="0" t="s">
        <v>439</v>
      </c>
    </row>
    <row r="84" customFormat="false" ht="15" hidden="false" customHeight="false" outlineLevel="0" collapsed="false">
      <c r="A84" s="0" t="s">
        <v>1082</v>
      </c>
      <c r="B84" s="0" t="s">
        <v>439</v>
      </c>
      <c r="C84" s="0" t="s">
        <v>76</v>
      </c>
      <c r="D84" s="0" t="s">
        <v>438</v>
      </c>
      <c r="E84" s="0" t="s">
        <v>439</v>
      </c>
    </row>
    <row r="85" customFormat="false" ht="15" hidden="false" customHeight="false" outlineLevel="0" collapsed="false">
      <c r="A85" s="0" t="s">
        <v>1083</v>
      </c>
      <c r="B85" s="0" t="s">
        <v>439</v>
      </c>
      <c r="C85" s="0" t="s">
        <v>76</v>
      </c>
      <c r="D85" s="0" t="s">
        <v>438</v>
      </c>
      <c r="E85" s="0" t="s">
        <v>439</v>
      </c>
    </row>
    <row r="86" customFormat="false" ht="15" hidden="false" customHeight="false" outlineLevel="0" collapsed="false">
      <c r="A86" s="0" t="s">
        <v>1084</v>
      </c>
      <c r="B86" s="0" t="s">
        <v>443</v>
      </c>
      <c r="C86" s="0" t="s">
        <v>76</v>
      </c>
      <c r="D86" s="0" t="s">
        <v>442</v>
      </c>
      <c r="E86" s="0" t="s">
        <v>443</v>
      </c>
    </row>
    <row r="87" customFormat="false" ht="15" hidden="false" customHeight="false" outlineLevel="0" collapsed="false">
      <c r="A87" s="0" t="s">
        <v>1085</v>
      </c>
      <c r="B87" s="0" t="s">
        <v>443</v>
      </c>
      <c r="C87" s="0" t="s">
        <v>76</v>
      </c>
      <c r="D87" s="0" t="s">
        <v>442</v>
      </c>
      <c r="E87" s="0" t="s">
        <v>443</v>
      </c>
    </row>
    <row r="88" customFormat="false" ht="15" hidden="false" customHeight="false" outlineLevel="0" collapsed="false">
      <c r="A88" s="0" t="s">
        <v>1086</v>
      </c>
      <c r="B88" s="0" t="s">
        <v>1087</v>
      </c>
      <c r="C88" s="0" t="s">
        <v>76</v>
      </c>
      <c r="D88" s="0" t="s">
        <v>480</v>
      </c>
      <c r="E88" s="0" t="s">
        <v>257</v>
      </c>
    </row>
    <row r="89" customFormat="false" ht="15" hidden="false" customHeight="false" outlineLevel="0" collapsed="false">
      <c r="A89" s="0" t="s">
        <v>1088</v>
      </c>
      <c r="B89" s="0" t="s">
        <v>1089</v>
      </c>
      <c r="C89" s="0" t="s">
        <v>76</v>
      </c>
      <c r="D89" s="0" t="s">
        <v>438</v>
      </c>
      <c r="E89" s="0" t="s">
        <v>439</v>
      </c>
    </row>
    <row r="90" customFormat="false" ht="15" hidden="false" customHeight="false" outlineLevel="0" collapsed="false">
      <c r="A90" s="0" t="s">
        <v>1090</v>
      </c>
      <c r="B90" s="0" t="s">
        <v>1091</v>
      </c>
      <c r="C90" s="0" t="s">
        <v>76</v>
      </c>
      <c r="D90" s="0" t="s">
        <v>411</v>
      </c>
      <c r="E90" s="0" t="s">
        <v>278</v>
      </c>
    </row>
    <row r="91" customFormat="false" ht="15" hidden="false" customHeight="false" outlineLevel="0" collapsed="false">
      <c r="A91" s="0" t="s">
        <v>1092</v>
      </c>
      <c r="B91" s="0" t="s">
        <v>1093</v>
      </c>
      <c r="C91" s="0" t="s">
        <v>76</v>
      </c>
      <c r="D91" s="0" t="s">
        <v>444</v>
      </c>
      <c r="E91" s="0" t="s">
        <v>445</v>
      </c>
    </row>
    <row r="92" customFormat="false" ht="15" hidden="false" customHeight="false" outlineLevel="0" collapsed="false">
      <c r="A92" s="0" t="s">
        <v>1094</v>
      </c>
      <c r="B92" s="0" t="s">
        <v>1095</v>
      </c>
      <c r="C92" s="0" t="s">
        <v>76</v>
      </c>
      <c r="D92" s="0" t="s">
        <v>415</v>
      </c>
      <c r="E92" s="0" t="s">
        <v>231</v>
      </c>
    </row>
    <row r="93" customFormat="false" ht="15" hidden="false" customHeight="false" outlineLevel="0" collapsed="false">
      <c r="A93" s="0" t="s">
        <v>1096</v>
      </c>
      <c r="B93" s="0" t="s">
        <v>1095</v>
      </c>
      <c r="C93" s="0" t="s">
        <v>76</v>
      </c>
      <c r="D93" s="0" t="s">
        <v>415</v>
      </c>
      <c r="E93" s="0" t="s">
        <v>231</v>
      </c>
    </row>
    <row r="94" customFormat="false" ht="15" hidden="false" customHeight="false" outlineLevel="0" collapsed="false">
      <c r="A94" s="0" t="s">
        <v>1097</v>
      </c>
      <c r="B94" s="0" t="s">
        <v>1098</v>
      </c>
      <c r="C94" s="0" t="s">
        <v>76</v>
      </c>
      <c r="D94" s="0" t="s">
        <v>480</v>
      </c>
      <c r="E94" s="0" t="s">
        <v>257</v>
      </c>
    </row>
    <row r="95" customFormat="false" ht="15" hidden="false" customHeight="false" outlineLevel="0" collapsed="false">
      <c r="A95" s="0" t="s">
        <v>1099</v>
      </c>
      <c r="B95" s="0" t="s">
        <v>1100</v>
      </c>
      <c r="C95" s="0" t="s">
        <v>76</v>
      </c>
      <c r="D95" s="0" t="s">
        <v>434</v>
      </c>
      <c r="E95" s="0" t="s">
        <v>435</v>
      </c>
    </row>
    <row r="96" customFormat="false" ht="15" hidden="false" customHeight="false" outlineLevel="0" collapsed="false">
      <c r="A96" s="0" t="s">
        <v>1101</v>
      </c>
      <c r="B96" s="0" t="s">
        <v>1102</v>
      </c>
      <c r="C96" s="0" t="s">
        <v>76</v>
      </c>
      <c r="D96" s="0" t="s">
        <v>411</v>
      </c>
      <c r="E96" s="0" t="s">
        <v>278</v>
      </c>
    </row>
    <row r="97" customFormat="false" ht="15" hidden="false" customHeight="false" outlineLevel="0" collapsed="false">
      <c r="A97" s="0" t="s">
        <v>1103</v>
      </c>
      <c r="B97" s="0" t="s">
        <v>1104</v>
      </c>
      <c r="C97" s="0" t="s">
        <v>76</v>
      </c>
      <c r="D97" s="0" t="s">
        <v>461</v>
      </c>
      <c r="E97" s="0" t="s">
        <v>462</v>
      </c>
    </row>
    <row r="98" customFormat="false" ht="15" hidden="false" customHeight="false" outlineLevel="0" collapsed="false">
      <c r="A98" s="0" t="s">
        <v>1105</v>
      </c>
      <c r="B98" s="0" t="s">
        <v>1104</v>
      </c>
      <c r="C98" s="0" t="s">
        <v>76</v>
      </c>
      <c r="D98" s="0" t="s">
        <v>461</v>
      </c>
      <c r="E98" s="0" t="s">
        <v>462</v>
      </c>
    </row>
    <row r="99" customFormat="false" ht="15" hidden="false" customHeight="false" outlineLevel="0" collapsed="false">
      <c r="A99" s="0" t="s">
        <v>1106</v>
      </c>
      <c r="B99" s="0" t="s">
        <v>1107</v>
      </c>
      <c r="C99" s="0" t="s">
        <v>76</v>
      </c>
      <c r="D99" s="0" t="s">
        <v>448</v>
      </c>
      <c r="E99" s="0" t="s">
        <v>449</v>
      </c>
    </row>
    <row r="100" customFormat="false" ht="15" hidden="false" customHeight="false" outlineLevel="0" collapsed="false">
      <c r="A100" s="0" t="s">
        <v>1108</v>
      </c>
      <c r="B100" s="0" t="s">
        <v>1109</v>
      </c>
      <c r="C100" s="0" t="s">
        <v>76</v>
      </c>
      <c r="D100" s="0" t="s">
        <v>438</v>
      </c>
      <c r="E100" s="0" t="s">
        <v>439</v>
      </c>
    </row>
    <row r="101" customFormat="false" ht="15" hidden="false" customHeight="false" outlineLevel="0" collapsed="false">
      <c r="A101" s="0" t="s">
        <v>1110</v>
      </c>
      <c r="B101" s="0" t="s">
        <v>1111</v>
      </c>
      <c r="C101" s="0" t="s">
        <v>76</v>
      </c>
      <c r="D101" s="0" t="s">
        <v>446</v>
      </c>
      <c r="E101" s="0" t="s">
        <v>447</v>
      </c>
    </row>
    <row r="102" customFormat="false" ht="15" hidden="false" customHeight="false" outlineLevel="0" collapsed="false">
      <c r="A102" s="0" t="s">
        <v>1112</v>
      </c>
      <c r="B102" s="0" t="s">
        <v>1113</v>
      </c>
      <c r="C102" s="0" t="s">
        <v>76</v>
      </c>
      <c r="D102" s="0" t="s">
        <v>448</v>
      </c>
      <c r="E102" s="0" t="s">
        <v>449</v>
      </c>
    </row>
    <row r="103" customFormat="false" ht="15" hidden="false" customHeight="false" outlineLevel="0" collapsed="false">
      <c r="A103" s="0" t="s">
        <v>1114</v>
      </c>
      <c r="B103" s="0" t="s">
        <v>1115</v>
      </c>
      <c r="C103" s="0" t="s">
        <v>76</v>
      </c>
      <c r="D103" s="0" t="s">
        <v>446</v>
      </c>
      <c r="E103" s="0" t="s">
        <v>447</v>
      </c>
    </row>
    <row r="104" customFormat="false" ht="15" hidden="false" customHeight="false" outlineLevel="0" collapsed="false">
      <c r="A104" s="0" t="s">
        <v>1116</v>
      </c>
      <c r="B104" s="0" t="s">
        <v>1117</v>
      </c>
      <c r="C104" s="0" t="s">
        <v>76</v>
      </c>
      <c r="D104" s="0" t="s">
        <v>463</v>
      </c>
      <c r="E104" s="0" t="s">
        <v>464</v>
      </c>
    </row>
    <row r="105" customFormat="false" ht="15" hidden="false" customHeight="false" outlineLevel="0" collapsed="false">
      <c r="A105" s="0" t="s">
        <v>1118</v>
      </c>
      <c r="B105" s="0" t="s">
        <v>1119</v>
      </c>
      <c r="C105" s="0" t="s">
        <v>76</v>
      </c>
      <c r="D105" s="0" t="s">
        <v>456</v>
      </c>
      <c r="E105" s="0" t="s">
        <v>203</v>
      </c>
    </row>
    <row r="106" customFormat="false" ht="15" hidden="false" customHeight="false" outlineLevel="0" collapsed="false">
      <c r="A106" s="0" t="s">
        <v>1120</v>
      </c>
      <c r="B106" s="0" t="s">
        <v>1121</v>
      </c>
      <c r="C106" s="0" t="s">
        <v>76</v>
      </c>
      <c r="D106" s="0" t="s">
        <v>387</v>
      </c>
      <c r="E106" s="0" t="s">
        <v>388</v>
      </c>
    </row>
    <row r="107" customFormat="false" ht="15" hidden="false" customHeight="false" outlineLevel="0" collapsed="false">
      <c r="A107" s="0" t="s">
        <v>1122</v>
      </c>
      <c r="B107" s="0" t="s">
        <v>1123</v>
      </c>
      <c r="C107" s="0" t="s">
        <v>76</v>
      </c>
      <c r="D107" s="0" t="s">
        <v>442</v>
      </c>
      <c r="E107" s="0" t="s">
        <v>443</v>
      </c>
    </row>
    <row r="108" customFormat="false" ht="15" hidden="false" customHeight="false" outlineLevel="0" collapsed="false">
      <c r="A108" s="0" t="s">
        <v>1124</v>
      </c>
      <c r="B108" s="0" t="s">
        <v>1125</v>
      </c>
      <c r="C108" s="0" t="s">
        <v>76</v>
      </c>
      <c r="D108" s="0" t="s">
        <v>459</v>
      </c>
      <c r="E108" s="0" t="s">
        <v>460</v>
      </c>
    </row>
    <row r="109" customFormat="false" ht="15" hidden="false" customHeight="false" outlineLevel="0" collapsed="false">
      <c r="A109" s="0" t="s">
        <v>1126</v>
      </c>
      <c r="B109" s="0" t="s">
        <v>1127</v>
      </c>
      <c r="C109" s="0" t="s">
        <v>76</v>
      </c>
      <c r="D109" s="0" t="s">
        <v>393</v>
      </c>
      <c r="E109" s="0" t="s">
        <v>394</v>
      </c>
    </row>
    <row r="110" customFormat="false" ht="15" hidden="false" customHeight="false" outlineLevel="0" collapsed="false">
      <c r="A110" s="0" t="s">
        <v>1128</v>
      </c>
      <c r="B110" s="0" t="s">
        <v>1129</v>
      </c>
      <c r="C110" s="0" t="s">
        <v>76</v>
      </c>
      <c r="D110" s="0" t="s">
        <v>403</v>
      </c>
      <c r="E110" s="0" t="s">
        <v>404</v>
      </c>
    </row>
    <row r="111" customFormat="false" ht="15" hidden="false" customHeight="false" outlineLevel="0" collapsed="false">
      <c r="A111" s="0" t="s">
        <v>1130</v>
      </c>
      <c r="B111" s="0" t="s">
        <v>1131</v>
      </c>
      <c r="C111" s="0" t="s">
        <v>76</v>
      </c>
      <c r="D111" s="0" t="s">
        <v>471</v>
      </c>
      <c r="E111" s="0" t="s">
        <v>472</v>
      </c>
    </row>
    <row r="112" customFormat="false" ht="15" hidden="false" customHeight="false" outlineLevel="0" collapsed="false">
      <c r="A112" s="0" t="s">
        <v>1132</v>
      </c>
      <c r="B112" s="0" t="s">
        <v>1133</v>
      </c>
      <c r="C112" s="0" t="s">
        <v>76</v>
      </c>
      <c r="D112" s="0" t="s">
        <v>387</v>
      </c>
      <c r="E112" s="0" t="s">
        <v>388</v>
      </c>
    </row>
    <row r="113" customFormat="false" ht="15" hidden="false" customHeight="false" outlineLevel="0" collapsed="false">
      <c r="A113" s="0" t="s">
        <v>1134</v>
      </c>
      <c r="B113" s="0" t="s">
        <v>1135</v>
      </c>
      <c r="C113" s="0" t="s">
        <v>76</v>
      </c>
      <c r="D113" s="0" t="s">
        <v>489</v>
      </c>
      <c r="E113" s="0" t="s">
        <v>490</v>
      </c>
    </row>
    <row r="114" customFormat="false" ht="15" hidden="false" customHeight="false" outlineLevel="0" collapsed="false">
      <c r="A114" s="0" t="s">
        <v>1136</v>
      </c>
      <c r="B114" s="0" t="s">
        <v>1137</v>
      </c>
      <c r="C114" s="0" t="s">
        <v>76</v>
      </c>
      <c r="D114" s="0" t="s">
        <v>444</v>
      </c>
      <c r="E114" s="0" t="s">
        <v>445</v>
      </c>
    </row>
    <row r="115" customFormat="false" ht="15" hidden="false" customHeight="false" outlineLevel="0" collapsed="false">
      <c r="A115" s="0" t="s">
        <v>1138</v>
      </c>
      <c r="B115" s="0" t="s">
        <v>1139</v>
      </c>
      <c r="C115" s="0" t="s">
        <v>76</v>
      </c>
      <c r="D115" s="0" t="s">
        <v>473</v>
      </c>
      <c r="E115" s="0" t="s">
        <v>474</v>
      </c>
    </row>
    <row r="116" customFormat="false" ht="15" hidden="false" customHeight="false" outlineLevel="0" collapsed="false">
      <c r="A116" s="0" t="s">
        <v>1140</v>
      </c>
      <c r="B116" s="0" t="s">
        <v>1141</v>
      </c>
      <c r="C116" s="0" t="s">
        <v>76</v>
      </c>
      <c r="D116" s="0" t="s">
        <v>461</v>
      </c>
      <c r="E116" s="0" t="s">
        <v>462</v>
      </c>
    </row>
    <row r="117" customFormat="false" ht="15" hidden="false" customHeight="false" outlineLevel="0" collapsed="false">
      <c r="A117" s="0" t="s">
        <v>1142</v>
      </c>
      <c r="B117" s="0" t="s">
        <v>1143</v>
      </c>
      <c r="C117" s="0" t="s">
        <v>76</v>
      </c>
      <c r="D117" s="0" t="s">
        <v>426</v>
      </c>
      <c r="E117" s="0" t="s">
        <v>290</v>
      </c>
    </row>
    <row r="118" customFormat="false" ht="15" hidden="false" customHeight="false" outlineLevel="0" collapsed="false">
      <c r="A118" s="0" t="s">
        <v>1144</v>
      </c>
      <c r="B118" s="0" t="s">
        <v>1145</v>
      </c>
      <c r="C118" s="0" t="s">
        <v>76</v>
      </c>
      <c r="D118" s="0" t="s">
        <v>403</v>
      </c>
      <c r="E118" s="0" t="s">
        <v>404</v>
      </c>
    </row>
    <row r="119" customFormat="false" ht="15" hidden="false" customHeight="false" outlineLevel="0" collapsed="false">
      <c r="A119" s="0" t="s">
        <v>1146</v>
      </c>
      <c r="B119" s="0" t="s">
        <v>1147</v>
      </c>
      <c r="C119" s="0" t="s">
        <v>76</v>
      </c>
      <c r="D119" s="0" t="s">
        <v>461</v>
      </c>
      <c r="E119" s="0" t="s">
        <v>462</v>
      </c>
    </row>
    <row r="120" customFormat="false" ht="15" hidden="false" customHeight="false" outlineLevel="0" collapsed="false">
      <c r="A120" s="0" t="s">
        <v>1148</v>
      </c>
      <c r="B120" s="0" t="s">
        <v>1147</v>
      </c>
      <c r="C120" s="0" t="s">
        <v>76</v>
      </c>
      <c r="D120" s="0" t="s">
        <v>461</v>
      </c>
      <c r="E120" s="0" t="s">
        <v>462</v>
      </c>
    </row>
    <row r="121" customFormat="false" ht="15" hidden="false" customHeight="false" outlineLevel="0" collapsed="false">
      <c r="A121" s="0" t="s">
        <v>1149</v>
      </c>
      <c r="B121" s="0" t="s">
        <v>1150</v>
      </c>
      <c r="C121" s="0" t="s">
        <v>76</v>
      </c>
      <c r="D121" s="0" t="s">
        <v>455</v>
      </c>
      <c r="E121" s="0" t="s">
        <v>312</v>
      </c>
    </row>
    <row r="122" customFormat="false" ht="15" hidden="false" customHeight="false" outlineLevel="0" collapsed="false">
      <c r="A122" s="0" t="s">
        <v>1151</v>
      </c>
      <c r="B122" s="0" t="s">
        <v>1152</v>
      </c>
      <c r="C122" s="0" t="s">
        <v>76</v>
      </c>
      <c r="D122" s="0" t="s">
        <v>488</v>
      </c>
      <c r="E122" s="0" t="s">
        <v>374</v>
      </c>
    </row>
    <row r="123" customFormat="false" ht="15" hidden="false" customHeight="false" outlineLevel="0" collapsed="false">
      <c r="A123" s="0" t="s">
        <v>1153</v>
      </c>
      <c r="B123" s="0" t="s">
        <v>1154</v>
      </c>
      <c r="C123" s="0" t="s">
        <v>76</v>
      </c>
      <c r="D123" s="0" t="s">
        <v>479</v>
      </c>
      <c r="E123" s="0" t="s">
        <v>362</v>
      </c>
    </row>
    <row r="124" customFormat="false" ht="15" hidden="false" customHeight="false" outlineLevel="0" collapsed="false">
      <c r="A124" s="0" t="s">
        <v>1155</v>
      </c>
      <c r="B124" s="0" t="s">
        <v>1156</v>
      </c>
      <c r="C124" s="0" t="s">
        <v>76</v>
      </c>
      <c r="D124" s="0" t="s">
        <v>387</v>
      </c>
      <c r="E124" s="0" t="s">
        <v>388</v>
      </c>
    </row>
    <row r="125" customFormat="false" ht="15" hidden="false" customHeight="false" outlineLevel="0" collapsed="false">
      <c r="A125" s="0" t="s">
        <v>1157</v>
      </c>
      <c r="B125" s="0" t="s">
        <v>1158</v>
      </c>
      <c r="C125" s="0" t="s">
        <v>76</v>
      </c>
      <c r="D125" s="0" t="s">
        <v>444</v>
      </c>
      <c r="E125" s="0" t="s">
        <v>445</v>
      </c>
    </row>
    <row r="126" customFormat="false" ht="15" hidden="false" customHeight="false" outlineLevel="0" collapsed="false">
      <c r="A126" s="0" t="s">
        <v>1159</v>
      </c>
      <c r="B126" s="0" t="s">
        <v>1160</v>
      </c>
      <c r="C126" s="0" t="s">
        <v>76</v>
      </c>
      <c r="D126" s="0" t="s">
        <v>448</v>
      </c>
      <c r="E126" s="0" t="s">
        <v>449</v>
      </c>
    </row>
    <row r="127" customFormat="false" ht="15" hidden="false" customHeight="false" outlineLevel="0" collapsed="false">
      <c r="A127" s="0" t="s">
        <v>1161</v>
      </c>
      <c r="B127" s="0" t="s">
        <v>1160</v>
      </c>
      <c r="C127" s="0" t="s">
        <v>76</v>
      </c>
      <c r="D127" s="0" t="s">
        <v>448</v>
      </c>
      <c r="E127" s="0" t="s">
        <v>449</v>
      </c>
    </row>
    <row r="128" customFormat="false" ht="15" hidden="false" customHeight="false" outlineLevel="0" collapsed="false">
      <c r="A128" s="0" t="s">
        <v>1162</v>
      </c>
      <c r="B128" s="0" t="s">
        <v>1163</v>
      </c>
      <c r="C128" s="0" t="s">
        <v>76</v>
      </c>
      <c r="D128" s="0" t="s">
        <v>438</v>
      </c>
      <c r="E128" s="0" t="s">
        <v>439</v>
      </c>
    </row>
    <row r="129" customFormat="false" ht="15" hidden="false" customHeight="false" outlineLevel="0" collapsed="false">
      <c r="A129" s="0" t="s">
        <v>1164</v>
      </c>
      <c r="B129" s="0" t="s">
        <v>490</v>
      </c>
      <c r="C129" s="0" t="s">
        <v>76</v>
      </c>
      <c r="D129" s="0" t="s">
        <v>489</v>
      </c>
      <c r="E129" s="0" t="s">
        <v>490</v>
      </c>
    </row>
    <row r="130" customFormat="false" ht="15" hidden="false" customHeight="false" outlineLevel="0" collapsed="false">
      <c r="A130" s="0" t="s">
        <v>1165</v>
      </c>
      <c r="B130" s="0" t="s">
        <v>490</v>
      </c>
      <c r="C130" s="0" t="s">
        <v>76</v>
      </c>
      <c r="D130" s="0" t="s">
        <v>489</v>
      </c>
      <c r="E130" s="0" t="s">
        <v>490</v>
      </c>
    </row>
    <row r="131" customFormat="false" ht="15" hidden="false" customHeight="false" outlineLevel="0" collapsed="false">
      <c r="A131" s="0" t="s">
        <v>1166</v>
      </c>
      <c r="B131" s="0" t="s">
        <v>490</v>
      </c>
      <c r="C131" s="0" t="s">
        <v>76</v>
      </c>
      <c r="D131" s="0" t="s">
        <v>489</v>
      </c>
      <c r="E131" s="0" t="s">
        <v>490</v>
      </c>
    </row>
    <row r="132" customFormat="false" ht="15" hidden="false" customHeight="false" outlineLevel="0" collapsed="false">
      <c r="A132" s="0" t="s">
        <v>1167</v>
      </c>
      <c r="B132" s="0" t="s">
        <v>490</v>
      </c>
      <c r="C132" s="0" t="s">
        <v>76</v>
      </c>
      <c r="D132" s="0" t="s">
        <v>489</v>
      </c>
      <c r="E132" s="0" t="s">
        <v>490</v>
      </c>
    </row>
    <row r="133" customFormat="false" ht="15" hidden="false" customHeight="false" outlineLevel="0" collapsed="false">
      <c r="A133" s="0" t="s">
        <v>1168</v>
      </c>
      <c r="B133" s="0" t="s">
        <v>1169</v>
      </c>
      <c r="C133" s="0" t="s">
        <v>78</v>
      </c>
      <c r="D133" s="0" t="s">
        <v>731</v>
      </c>
      <c r="E133" s="0" t="s">
        <v>732</v>
      </c>
    </row>
    <row r="134" customFormat="false" ht="15" hidden="false" customHeight="false" outlineLevel="0" collapsed="false">
      <c r="A134" s="0" t="s">
        <v>1170</v>
      </c>
      <c r="B134" s="0" t="s">
        <v>1169</v>
      </c>
      <c r="C134" s="0" t="s">
        <v>78</v>
      </c>
      <c r="D134" s="0" t="s">
        <v>731</v>
      </c>
      <c r="E134" s="0" t="s">
        <v>732</v>
      </c>
    </row>
    <row r="135" customFormat="false" ht="15" hidden="false" customHeight="false" outlineLevel="0" collapsed="false">
      <c r="A135" s="0" t="s">
        <v>1171</v>
      </c>
      <c r="B135" s="0" t="s">
        <v>1172</v>
      </c>
      <c r="C135" s="0" t="s">
        <v>78</v>
      </c>
      <c r="D135" s="0" t="s">
        <v>764</v>
      </c>
      <c r="E135" s="0" t="s">
        <v>302</v>
      </c>
    </row>
    <row r="137" customFormat="false" ht="15" hidden="false" customHeight="false" outlineLevel="0" collapsed="false">
      <c r="A137" s="4" t="s">
        <v>1173</v>
      </c>
      <c r="C137" s="7" t="n">
        <f aca="false">COUNTA(A5:A135)</f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1174</v>
      </c>
    </row>
    <row r="4" customFormat="false" ht="15" hidden="false" customHeight="false" outlineLevel="0" collapsed="false">
      <c r="A4" s="3" t="s">
        <v>1175</v>
      </c>
      <c r="B4" s="3" t="s">
        <v>115</v>
      </c>
      <c r="C4" s="3" t="s">
        <v>1176</v>
      </c>
    </row>
    <row r="5" customFormat="false" ht="15" hidden="false" customHeight="false" outlineLevel="0" collapsed="false">
      <c r="A5" s="0" t="s">
        <v>1177</v>
      </c>
      <c r="B5" s="0" t="s">
        <v>1178</v>
      </c>
      <c r="C5" s="0" t="s">
        <v>1179</v>
      </c>
    </row>
    <row r="6" customFormat="false" ht="15" hidden="false" customHeight="false" outlineLevel="0" collapsed="false">
      <c r="A6" s="0" t="s">
        <v>1180</v>
      </c>
      <c r="B6" s="0" t="s">
        <v>1181</v>
      </c>
      <c r="C6" s="0" t="s">
        <v>1182</v>
      </c>
    </row>
    <row r="7" customFormat="false" ht="15" hidden="false" customHeight="false" outlineLevel="0" collapsed="false">
      <c r="A7" s="0" t="s">
        <v>1183</v>
      </c>
      <c r="B7" s="0" t="s">
        <v>1184</v>
      </c>
      <c r="C7" s="0" t="s">
        <v>1185</v>
      </c>
    </row>
    <row r="8" customFormat="false" ht="15" hidden="false" customHeight="false" outlineLevel="0" collapsed="false">
      <c r="A8" s="0" t="s">
        <v>1186</v>
      </c>
      <c r="B8" s="0" t="s">
        <v>1187</v>
      </c>
      <c r="C8" s="0" t="s">
        <v>1188</v>
      </c>
    </row>
    <row r="9" customFormat="false" ht="15" hidden="false" customHeight="false" outlineLevel="0" collapsed="false">
      <c r="A9" s="0" t="s">
        <v>1189</v>
      </c>
      <c r="B9" s="0" t="s">
        <v>1190</v>
      </c>
      <c r="C9" s="0" t="s">
        <v>895</v>
      </c>
    </row>
    <row r="10" customFormat="false" ht="15" hidden="false" customHeight="false" outlineLevel="0" collapsed="false">
      <c r="A10" s="0" t="s">
        <v>1191</v>
      </c>
      <c r="B10" s="0" t="s">
        <v>1192</v>
      </c>
      <c r="C10" s="0" t="s">
        <v>1193</v>
      </c>
    </row>
    <row r="11" customFormat="false" ht="15" hidden="false" customHeight="false" outlineLevel="0" collapsed="false">
      <c r="A11" s="0" t="s">
        <v>1194</v>
      </c>
      <c r="B11" s="0" t="s">
        <v>1195</v>
      </c>
      <c r="C11" s="0" t="s">
        <v>1196</v>
      </c>
    </row>
    <row r="12" customFormat="false" ht="15" hidden="false" customHeight="false" outlineLevel="0" collapsed="false">
      <c r="A12" s="0" t="s">
        <v>1197</v>
      </c>
      <c r="B12" s="0" t="s">
        <v>1198</v>
      </c>
      <c r="C12" s="0" t="s">
        <v>1199</v>
      </c>
    </row>
    <row r="13" customFormat="false" ht="15" hidden="false" customHeight="false" outlineLevel="0" collapsed="false">
      <c r="A13" s="0" t="s">
        <v>1200</v>
      </c>
      <c r="B13" s="0" t="s">
        <v>1201</v>
      </c>
      <c r="C13" s="0" t="s">
        <v>119</v>
      </c>
    </row>
    <row r="14" customFormat="false" ht="15" hidden="false" customHeight="false" outlineLevel="0" collapsed="false">
      <c r="A14" s="0" t="s">
        <v>1202</v>
      </c>
      <c r="B14" s="0" t="s">
        <v>1203</v>
      </c>
      <c r="C14" s="0" t="s">
        <v>130</v>
      </c>
    </row>
    <row r="15" customFormat="false" ht="15" hidden="false" customHeight="false" outlineLevel="0" collapsed="false">
      <c r="A15" s="0" t="s">
        <v>1204</v>
      </c>
      <c r="B15" s="0" t="s">
        <v>1205</v>
      </c>
      <c r="C15" s="0" t="s">
        <v>138</v>
      </c>
    </row>
    <row r="16" customFormat="false" ht="15" hidden="false" customHeight="false" outlineLevel="0" collapsed="false">
      <c r="A16" s="0" t="s">
        <v>1206</v>
      </c>
      <c r="B16" s="0" t="s">
        <v>1207</v>
      </c>
      <c r="C16" s="0" t="s">
        <v>134</v>
      </c>
    </row>
    <row r="17" customFormat="false" ht="15" hidden="false" customHeight="false" outlineLevel="0" collapsed="false">
      <c r="A17" s="0" t="s">
        <v>1208</v>
      </c>
      <c r="B17" s="0" t="s">
        <v>1209</v>
      </c>
      <c r="C17" s="0" t="s">
        <v>1210</v>
      </c>
    </row>
    <row r="18" customFormat="false" ht="15" hidden="false" customHeight="false" outlineLevel="0" collapsed="false">
      <c r="A18" s="0" t="s">
        <v>1211</v>
      </c>
      <c r="B18" s="0" t="s">
        <v>1212</v>
      </c>
      <c r="C18" s="0" t="s">
        <v>884</v>
      </c>
    </row>
    <row r="19" customFormat="false" ht="15" hidden="false" customHeight="false" outlineLevel="0" collapsed="false">
      <c r="A19" s="0" t="s">
        <v>1213</v>
      </c>
      <c r="B19" s="0" t="s">
        <v>1214</v>
      </c>
      <c r="C19" s="0" t="s">
        <v>888</v>
      </c>
    </row>
    <row r="20" customFormat="false" ht="15" hidden="false" customHeight="false" outlineLevel="0" collapsed="false">
      <c r="A20" s="0" t="s">
        <v>1215</v>
      </c>
      <c r="B20" s="0" t="s">
        <v>1216</v>
      </c>
      <c r="C20" s="0" t="s">
        <v>1217</v>
      </c>
    </row>
    <row r="21" customFormat="false" ht="15" hidden="false" customHeight="false" outlineLevel="0" collapsed="false">
      <c r="A21" s="0" t="s">
        <v>1218</v>
      </c>
      <c r="B21" s="0" t="s">
        <v>1219</v>
      </c>
      <c r="C21" s="0" t="s">
        <v>891</v>
      </c>
    </row>
    <row r="22" customFormat="false" ht="15" hidden="false" customHeight="false" outlineLevel="0" collapsed="false">
      <c r="A22" s="0" t="s">
        <v>1220</v>
      </c>
      <c r="B22" s="0" t="s">
        <v>1221</v>
      </c>
      <c r="C22" s="0" t="s">
        <v>1222</v>
      </c>
    </row>
    <row r="23" customFormat="false" ht="15" hidden="false" customHeight="false" outlineLevel="0" collapsed="false">
      <c r="A23" s="0" t="s">
        <v>1223</v>
      </c>
      <c r="B23" s="0" t="s">
        <v>1224</v>
      </c>
      <c r="C23" s="0" t="s">
        <v>126</v>
      </c>
    </row>
    <row r="24" customFormat="false" ht="15" hidden="false" customHeight="false" outlineLevel="0" collapsed="false">
      <c r="A24" s="0" t="s">
        <v>1225</v>
      </c>
      <c r="B24" s="0" t="s">
        <v>1226</v>
      </c>
      <c r="C24" s="0" t="s">
        <v>150</v>
      </c>
    </row>
    <row r="25" customFormat="false" ht="15" hidden="false" customHeight="false" outlineLevel="0" collapsed="false">
      <c r="A25" s="0" t="s">
        <v>1227</v>
      </c>
      <c r="B25" s="0" t="s">
        <v>1228</v>
      </c>
      <c r="C25" s="0" t="s">
        <v>1229</v>
      </c>
    </row>
    <row r="26" customFormat="false" ht="15" hidden="false" customHeight="false" outlineLevel="0" collapsed="false">
      <c r="A26" s="0" t="s">
        <v>1230</v>
      </c>
      <c r="B26" s="0" t="s">
        <v>1231</v>
      </c>
      <c r="C26" s="0" t="s">
        <v>1232</v>
      </c>
    </row>
    <row r="27" customFormat="false" ht="15" hidden="false" customHeight="false" outlineLevel="0" collapsed="false">
      <c r="A27" s="0" t="s">
        <v>1233</v>
      </c>
      <c r="B27" s="0" t="s">
        <v>1234</v>
      </c>
      <c r="C27" s="0" t="s">
        <v>875</v>
      </c>
    </row>
    <row r="28" customFormat="false" ht="15" hidden="false" customHeight="false" outlineLevel="0" collapsed="false">
      <c r="A28" s="0" t="s">
        <v>1235</v>
      </c>
      <c r="B28" s="0" t="s">
        <v>1236</v>
      </c>
      <c r="C28" s="0" t="s">
        <v>880</v>
      </c>
    </row>
    <row r="29" customFormat="false" ht="15" hidden="false" customHeight="false" outlineLevel="0" collapsed="false">
      <c r="A29" s="0" t="s">
        <v>1237</v>
      </c>
      <c r="B29" s="0" t="s">
        <v>1238</v>
      </c>
      <c r="C29" s="0" t="s">
        <v>881</v>
      </c>
    </row>
    <row r="30" customFormat="false" ht="15" hidden="false" customHeight="false" outlineLevel="0" collapsed="false">
      <c r="A30" s="0" t="s">
        <v>1239</v>
      </c>
      <c r="B30" s="0" t="s">
        <v>1240</v>
      </c>
      <c r="C30" s="0" t="s">
        <v>142</v>
      </c>
    </row>
    <row r="31" customFormat="false" ht="15" hidden="false" customHeight="false" outlineLevel="0" collapsed="false">
      <c r="A31" s="0" t="s">
        <v>1241</v>
      </c>
      <c r="B31" s="0" t="s">
        <v>1242</v>
      </c>
      <c r="C31" s="0" t="s">
        <v>1243</v>
      </c>
    </row>
    <row r="32" customFormat="false" ht="15" hidden="false" customHeight="false" outlineLevel="0" collapsed="false">
      <c r="A32" s="0" t="s">
        <v>1244</v>
      </c>
      <c r="B32" s="0" t="s">
        <v>1245</v>
      </c>
      <c r="C32" s="0" t="s">
        <v>146</v>
      </c>
    </row>
    <row r="33" customFormat="false" ht="15" hidden="false" customHeight="false" outlineLevel="0" collapsed="false">
      <c r="A33" s="0" t="s">
        <v>1246</v>
      </c>
      <c r="B33" s="0" t="s">
        <v>1226</v>
      </c>
      <c r="C33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2026-10-20T07:22:14Z</dcterms:created>
  <dc:creator>openpyxl</dc:creator>
  <dc:description/>
  <dc:language>en-US</dc:language>
  <cp:lastModifiedBy/>
  <dcterms:modified xsi:type="dcterms:W3CDTF">2026-10-20T07:22:15Z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