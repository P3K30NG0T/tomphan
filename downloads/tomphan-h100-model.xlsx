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Model" sheetId="2" state="visible" r:id="rId4"/>
    <sheet name="Ladder" sheetId="3" state="visible" r:id="rId5"/>
    <sheet name="H100 weekly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<sst xmlns="http://schemas.openxmlformats.org/spreadsheetml/2006/main" count="170" uniqueCount="165">
  <si>
    <t xml:space="preserve">tomphan. Should you buy an H100 today to rent it out? (one GPU)</t>
  </si>
  <si>
    <t xml:space="preserve">Blue = input. Green = linked from another sheet. Black = formula. Yellow = scenario selector. USD per GPU unless noted.</t>
  </si>
  <si>
    <t xml:space="preserve">Active scenario</t>
  </si>
  <si>
    <t xml:space="preserve">Base</t>
  </si>
  <si>
    <t xml:space="preserve">Assumption</t>
  </si>
  <si>
    <t xml:space="preserve">Active</t>
  </si>
  <si>
    <t xml:space="preserve">Bull</t>
  </si>
  <si>
    <t xml:space="preserve">Bear</t>
  </si>
  <si>
    <t xml:space="preserve">Unit</t>
  </si>
  <si>
    <t xml:space="preserve">Source / why</t>
  </si>
  <si>
    <t xml:space="preserve">Capex per GPU, all-in</t>
  </si>
  <si>
    <t xml:space="preserve">USD</t>
  </si>
  <si>
    <t xml:space="preserve">All-in cost per GPU incl. server share, network and storage. No open price series; tested from $20k to $40k.</t>
  </si>
  <si>
    <t xml:space="preserve">Rent, year 1</t>
  </si>
  <si>
    <t xml:space="preserve">USD/GPU-hr</t>
  </si>
  <si>
    <t xml:space="preserve">SemiAnalysis H100 1-yr rental index, Mar 2026. Year-1 rent = the H100 1-year contract index: what a buyer of capacity actually signs.</t>
  </si>
  <si>
    <t xml:space="preserve">Years locked by contract</t>
  </si>
  <si>
    <t xml:space="preserve">years</t>
  </si>
  <si>
    <t xml:space="preserve">Base case signs 1-year contracts and re-prices at market each year.</t>
  </si>
  <si>
    <t xml:space="preserve">Rent decline per year</t>
  </si>
  <si>
    <t xml:space="preserve">% per yr</t>
  </si>
  <si>
    <t xml:space="preserve">Linked from the Ladder sheet: fitted rate rounded to 2 decimals, bounded 8–40%, the same rule the harness applies.</t>
  </si>
  <si>
    <t xml:space="preserve">Utilization</t>
  </si>
  <si>
    <t xml:space="preserve">% of hours</t>
  </si>
  <si>
    <t xml:space="preserve">No open data on fleet utilization; 85% leaves room for maintenance and gaps between contracts.</t>
  </si>
  <si>
    <t xml:space="preserve">Power per GPU incl. cooling</t>
  </si>
  <si>
    <t xml:space="preserve">kW</t>
  </si>
  <si>
    <t xml:space="preserve">Analyst input: 700W GPU + server share, PUE ~1.3.</t>
  </si>
  <si>
    <t xml:space="preserve">Electricity</t>
  </si>
  <si>
    <t xml:space="preserve">USD/kWh</t>
  </si>
  <si>
    <t xml:space="preserve">EIA Monthly Energy Review Table 9.8, US industrial, May 2026.</t>
  </si>
  <si>
    <t xml:space="preserve">Other opex</t>
  </si>
  <si>
    <t xml:space="preserve">USD per available GPU-hr</t>
  </si>
  <si>
    <t xml:space="preserve">Analyst input: colocation, network, staff, maintenance.</t>
  </si>
  <si>
    <t xml:space="preserve">Economic life</t>
  </si>
  <si>
    <t xml:space="preserve">Between the 2–3 years critics argue and the 6 years used in accounts.</t>
  </si>
  <si>
    <t xml:space="preserve">Resale value</t>
  </si>
  <si>
    <t xml:space="preserve">% of capex</t>
  </si>
  <si>
    <t xml:space="preserve">Analyst input.</t>
  </si>
  <si>
    <t xml:space="preserve">Cost of capital</t>
  </si>
  <si>
    <t xml:space="preserve">%</t>
  </si>
  <si>
    <t xml:space="preserve">Equity-heavy financing for a new operator.</t>
  </si>
  <si>
    <t xml:space="preserve">Tax rate</t>
  </si>
  <si>
    <t xml:space="preserve">US federal corporate rate; losses assumed usable by the wider business.</t>
  </si>
  <si>
    <t xml:space="preserve">Hours per year</t>
  </si>
  <si>
    <t xml:space="preserve">hours</t>
  </si>
  <si>
    <t xml:space="preserve">Cash flows per GPU (USD)</t>
  </si>
  <si>
    <t xml:space="preserve">Rent holds at the year-1 rate while locked by contract, then follows the market curve: rent × (1 − decline)^(year − 1). Columns past the life show zero.</t>
  </si>
  <si>
    <t xml:space="preserve">Year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</si>
  <si>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</si>
  <si>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</si>
  <si>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</si>
  <si>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</si>
  <si>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</si>
  <si>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</si>
  <si>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</si>
  <si>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</si>
  <si>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</si>
  <si>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Active (1 = in life)</t>
  </si>
  <si>
    <t xml:space="preserve">Rent ($/hr)</t>
  </si>
  <si>
    <t xml:space="preserve">Revenue</t>
  </si>
  <si>
    <t xml:space="preserve">Power</t>
  </si>
  <si>
    <t xml:space="preserve">EBITDA</t>
  </si>
  <si>
    <t xml:space="preserve">Depreciation</t>
  </si>
  <si>
    <t xml:space="preserve">EBIT</t>
  </si>
  <si>
    <t xml:space="preserve">Tax (negative = shield)</t>
  </si>
  <si>
    <t xml:space="preserve">Free cash flow</t>
  </si>
  <si>
    <t xml:space="preserve">Cumulative FCF</t>
  </si>
  <si>
    <t xml:space="preserve">Rent coefficient (PV per $1 of rent)</t>
  </si>
  <si>
    <t xml:space="preserve">Capex coefficient (PV per $1 of capex)</t>
  </si>
  <si>
    <t xml:space="preserve">Results</t>
  </si>
  <si>
    <t xml:space="preserve">NPV per GPU</t>
  </si>
  <si>
    <t xml:space="preserve">NPV, 1,000-GPU cluster</t>
  </si>
  <si>
    <t xml:space="preserve">IRR</t>
  </si>
  <si>
    <t xml:space="preserve">Payback (years)</t>
  </si>
  <si>
    <t xml:space="preserve">Break-even year-1 rent ($/hr)</t>
  </si>
  <si>
    <t xml:space="preserve">NPV is linear in rent and in capex, so the break-evens are exact: current value minus NPV ÷ PV coefficient.</t>
  </si>
  <si>
    <t xml:space="preserve">Max capex per GPU to break even</t>
  </si>
  <si>
    <t xml:space="preserve">Cash cost per billed GPU-hour</t>
  </si>
  <si>
    <t xml:space="preserve">Year-1 EBIT margin, economic life</t>
  </si>
  <si>
    <t xml:space="preserve">Year-1 EBIT margin, 6-year accounting life</t>
  </si>
  <si>
    <t xml:space="preserve">Price ladder: rent vs years on the market (evidence for the rent-decline assumption)</t>
  </si>
  <si>
    <t xml:space="preserve">Source: GetDeploying GPU price dataset (CC BY 4.0), on-demand median, average of the last 4 complete weeks to 2026-09-28. Availability year = analyst input.</t>
  </si>
  <si>
    <t xml:space="preserve">As-of year (decimal)</t>
  </si>
  <si>
    <t xml:space="preserve">GPU</t>
  </si>
  <si>
    <t xml:space="preserve">Volume availability (year)</t>
  </si>
  <si>
    <t xml:space="preserve">Years on market</t>
  </si>
  <si>
    <t xml:space="preserve">Rent $/GPU-hr</t>
  </si>
  <si>
    <t xml:space="preserve">LN(rent)</t>
  </si>
  <si>
    <t xml:space="preserve">12-month change</t>
  </si>
  <si>
    <t xml:space="preserve">A100</t>
  </si>
  <si>
    <t xml:space="preserve">H100</t>
  </si>
  <si>
    <t xml:space="preserve">H200</t>
  </si>
  <si>
    <t xml:space="preserve">B200</t>
  </si>
  <si>
    <t xml:space="preserve">B300</t>
  </si>
  <si>
    <t xml:space="preserve">Slope of LN(rent) per year</t>
  </si>
  <si>
    <t xml:space="preserve">R²</t>
  </si>
  <si>
    <t xml:space="preserve">Rent lost per year of age</t>
  </si>
  <si>
    <t xml:space="preserve">H100 on-demand median rent, USD/GPU-hr (GetDeploying, CC BY 4.0)</t>
  </si>
  <si>
    <t xml:space="preserve">Week</t>
  </si>
  <si>
    <t xml:space="preserve">Median rent</t>
  </si>
  <si>
    <t xml:space="preserve">2025-10-06</t>
  </si>
  <si>
    <t xml:space="preserve">2025-10-13</t>
  </si>
  <si>
    <t xml:space="preserve">2025-10-20</t>
  </si>
  <si>
    <t xml:space="preserve">2025-10-27</t>
  </si>
  <si>
    <t xml:space="preserve">2025-11-03</t>
  </si>
  <si>
    <t xml:space="preserve">2025-11-10</t>
  </si>
  <si>
    <t xml:space="preserve">2025-11-17</t>
  </si>
  <si>
    <t xml:space="preserve">2025-11-24</t>
  </si>
  <si>
    <t xml:space="preserve">2025-12-01</t>
  </si>
  <si>
    <t xml:space="preserve">2025-12-08</t>
  </si>
  <si>
    <t xml:space="preserve">2025-12-15</t>
  </si>
  <si>
    <t xml:space="preserve">2025-12-22</t>
  </si>
  <si>
    <t xml:space="preserve">2025-12-29</t>
  </si>
  <si>
    <t xml:space="preserve">2026-01-05</t>
  </si>
  <si>
    <t xml:space="preserve">2026-01-12</t>
  </si>
  <si>
    <t xml:space="preserve">2026-01-19</t>
  </si>
  <si>
    <t xml:space="preserve">2026-01-26</t>
  </si>
  <si>
    <t xml:space="preserve">2026-02-02</t>
  </si>
  <si>
    <t xml:space="preserve">2026-02-09</t>
  </si>
  <si>
    <t xml:space="preserve">2026-02-16</t>
  </si>
  <si>
    <t xml:space="preserve">2026-02-23</t>
  </si>
  <si>
    <t xml:space="preserve">2026-03-02</t>
  </si>
  <si>
    <t xml:space="preserve">2026-03-09</t>
  </si>
  <si>
    <t xml:space="preserve">2026-03-16</t>
  </si>
  <si>
    <t xml:space="preserve">2026-03-23</t>
  </si>
  <si>
    <t xml:space="preserve">2026-03-30</t>
  </si>
  <si>
    <t xml:space="preserve">2026-04-06</t>
  </si>
  <si>
    <t xml:space="preserve">2026-04-13</t>
  </si>
  <si>
    <t xml:space="preserve">2026-04-20</t>
  </si>
  <si>
    <t xml:space="preserve">2026-04-27</t>
  </si>
  <si>
    <t xml:space="preserve">2026-05-04</t>
  </si>
  <si>
    <t xml:space="preserve">2026-05-11</t>
  </si>
  <si>
    <t xml:space="preserve">2026-05-18</t>
  </si>
  <si>
    <t xml:space="preserve">2026-05-25</t>
  </si>
  <si>
    <t xml:space="preserve">2026-06-01</t>
  </si>
  <si>
    <t xml:space="preserve">2026-06-08</t>
  </si>
  <si>
    <t xml:space="preserve">2026-06-15</t>
  </si>
  <si>
    <t xml:space="preserve">2026-06-22</t>
  </si>
  <si>
    <t xml:space="preserve">2026-06-29</t>
  </si>
  <si>
    <t xml:space="preserve">2026-07-06</t>
  </si>
  <si>
    <t xml:space="preserve">2026-07-13</t>
  </si>
  <si>
    <t xml:space="preserve">2026-07-20</t>
  </si>
  <si>
    <t xml:space="preserve">2026-07-27</t>
  </si>
  <si>
    <t xml:space="preserve">2026-08-03</t>
  </si>
  <si>
    <t xml:space="preserve">2026-08-10</t>
  </si>
  <si>
    <t xml:space="preserve">2026-08-17</t>
  </si>
  <si>
    <t xml:space="preserve">2026-08-24</t>
  </si>
  <si>
    <t xml:space="preserve">2026-08-31</t>
  </si>
  <si>
    <t xml:space="preserve">2026-09-07</t>
  </si>
  <si>
    <t xml:space="preserve">2026-09-14</t>
  </si>
  <si>
    <t xml:space="preserve">2026-09-21</t>
  </si>
  <si>
    <t xml:space="preserve">2026-09-28</t>
  </si>
  <si>
    <t xml:space="preserve">Sources</t>
  </si>
  <si>
    <t xml:space="preserve">GetDeploying GPU price dataset (CC BY 4.0)</t>
  </si>
  <si>
    <t xml:space="preserve">https://getdeploying.com/dataset/gpu-prices</t>
  </si>
  <si>
    <t xml:space="preserve">SemiAnalysis H100 1-yr rental index</t>
  </si>
  <si>
    <t xml:space="preserve">https://newsletter.semianalysis.com/p/the-great-gpu-shortage-rental-capacity</t>
  </si>
  <si>
    <t xml:space="preserve">EIA Monthly Energy Review, electricity prices</t>
  </si>
  <si>
    <t xml:space="preserve">https://www.eia.gov/TOTALENERGY/data/monthly/pdf/sec9_10.pdf</t>
  </si>
  <si>
    <t xml:space="preserve">CoreWeave Form 10-K FY2025</t>
  </si>
  <si>
    <t xml:space="preserve">https://www.sec.gov/Archives/edgar/data/1769628/000176962826000104/crwv-20251231.htm</t>
  </si>
  <si>
    <t xml:space="preserve">Research harness code and run log</t>
  </si>
  <si>
    <t xml:space="preserve">https://github.com/P3K30NG0T/tomphan</t>
  </si>
  <si>
    <t xml:space="preserve">Data as of 2026-09-28. Independent analysis on open data by Phan Nguyen Hong Quang (tomphan.). Not investment advice.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</si>
</sst>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&quot;($&quot;#,##0\);\-"/>
    <numFmt numFmtId="166" formatCode="\$#,##0.00;&quot;($&quot;#,##0.00\);\-"/>
    <numFmt numFmtId="167" formatCode="0"/>
    <numFmt numFmtId="168" formatCode="0.0%;\(0.0%\);\-"/>
    <numFmt numFmtId="169" formatCode="0.00"/>
    <numFmt numFmtId="170" formatCode="\$0.000"/>
    <numFmt numFmtId="171" formatCode="#,##0"/>
    <numFmt numFmtId="172" formatCode="0.000"/>
    <numFmt numFmtId="173" formatCode="0.0"/>
    <numFmt numFmtId="174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E3EA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3"/>
    <col collapsed="false" customWidth="true" hidden="false" outlineLevel="0" max="7" min="7" style="0" width="9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2" t="n">
        <f aca="false">MATCH(B4,{"Bull","Base","Bear"},0)</f>
        <v>2</v>
      </c>
    </row>
    <row r="6" customFormat="false" ht="15" hidden="false" customHeight="false" outlineLevel="0" collapsed="false">
      <c r="A6" s="5" t="s">
        <v>4</v>
      </c>
      <c r="B6" s="5" t="s">
        <v>5</v>
      </c>
      <c r="C6" s="5" t="s">
        <v>6</v>
      </c>
      <c r="D6" s="5" t="s">
        <v>3</v>
      </c>
      <c r="E6" s="5" t="s">
        <v>7</v>
      </c>
      <c r="F6" s="5" t="s">
        <v>8</v>
      </c>
      <c r="G6" s="5" t="s">
        <v>9</v>
      </c>
    </row>
    <row r="7" customFormat="false" ht="15" hidden="false" customHeight="false" outlineLevel="0" collapsed="false">
      <c r="A7" s="2" t="s">
        <v>10</v>
      </c>
      <c r="B7" s="6" t="n">
        <f aca="false">INDEX(C7:E7,$C$4)</f>
        <v>35000</v>
      </c>
      <c r="C7" s="7" t="n">
        <f aca="false">D7</f>
        <v>35000</v>
      </c>
      <c r="D7" s="8" t="n">
        <v>35000</v>
      </c>
      <c r="E7" s="7" t="n">
        <f aca="false">D7</f>
        <v>35000</v>
      </c>
      <c r="F7" s="2" t="s">
        <v>11</v>
      </c>
      <c r="G7" s="2" t="s">
        <v>12</v>
      </c>
    </row>
    <row r="8" customFormat="false" ht="15" hidden="false" customHeight="false" outlineLevel="0" collapsed="false">
      <c r="A8" s="2" t="s">
        <v>13</v>
      </c>
      <c r="B8" s="9" t="n">
        <f aca="false">INDEX(C8:E8,$C$4)</f>
        <v>2.35</v>
      </c>
      <c r="C8" s="10" t="n">
        <f aca="false">D8</f>
        <v>2.35</v>
      </c>
      <c r="D8" s="11" t="n">
        <v>2.35</v>
      </c>
      <c r="E8" s="10" t="n">
        <f aca="false">D8</f>
        <v>2.35</v>
      </c>
      <c r="F8" s="2" t="s">
        <v>14</v>
      </c>
      <c r="G8" s="2" t="s">
        <v>15</v>
      </c>
    </row>
    <row r="9" customFormat="false" ht="15" hidden="false" customHeight="false" outlineLevel="0" collapsed="false">
      <c r="A9" s="2" t="s">
        <v>16</v>
      </c>
      <c r="B9" s="12" t="n">
        <f aca="false">INDEX(C9:E9,$C$4)</f>
        <v>1</v>
      </c>
      <c r="C9" s="13" t="n">
        <v>3</v>
      </c>
      <c r="D9" s="13" t="n">
        <v>1</v>
      </c>
      <c r="E9" s="14" t="n">
        <f aca="false">D9</f>
        <v>1</v>
      </c>
      <c r="F9" s="2" t="s">
        <v>17</v>
      </c>
      <c r="G9" s="2" t="s">
        <v>18</v>
      </c>
    </row>
    <row r="10" customFormat="false" ht="15" hidden="false" customHeight="false" outlineLevel="0" collapsed="false">
      <c r="A10" s="2" t="s">
        <v>19</v>
      </c>
      <c r="B10" s="15" t="n">
        <f aca="false">INDEX(C10:E10,$C$4)</f>
        <v>0.24</v>
      </c>
      <c r="C10" s="16" t="n">
        <f aca="false">MAX(0.05,D10-0.08)</f>
        <v>0.16</v>
      </c>
      <c r="D10" s="17" t="n">
        <f aca="false">MIN(0.4,MAX(0.08,ROUND(Ladder!$B$15,2)))</f>
        <v>0.24</v>
      </c>
      <c r="E10" s="16" t="n">
        <f aca="false">MIN(0.45,D10+0.08)</f>
        <v>0.32</v>
      </c>
      <c r="F10" s="2" t="s">
        <v>20</v>
      </c>
      <c r="G10" s="2" t="s">
        <v>21</v>
      </c>
    </row>
    <row r="11" customFormat="false" ht="15" hidden="false" customHeight="false" outlineLevel="0" collapsed="false">
      <c r="A11" s="2" t="s">
        <v>22</v>
      </c>
      <c r="B11" s="15" t="n">
        <f aca="false">INDEX(C11:E11,$C$4)</f>
        <v>0.85</v>
      </c>
      <c r="C11" s="16" t="n">
        <f aca="false">MIN(0.95,D11+0.05)</f>
        <v>0.9</v>
      </c>
      <c r="D11" s="18" t="n">
        <v>0.85</v>
      </c>
      <c r="E11" s="16" t="n">
        <f aca="false">MAX(0.4,D11-0.15)</f>
        <v>0.7</v>
      </c>
      <c r="F11" s="2" t="s">
        <v>23</v>
      </c>
      <c r="G11" s="2" t="s">
        <v>24</v>
      </c>
    </row>
    <row r="12" customFormat="false" ht="15" hidden="false" customHeight="false" outlineLevel="0" collapsed="false">
      <c r="A12" s="2" t="s">
        <v>25</v>
      </c>
      <c r="B12" s="19" t="n">
        <f aca="false">INDEX(C12:E12,$C$4)</f>
        <v>1.4</v>
      </c>
      <c r="C12" s="20" t="n">
        <f aca="false">D12</f>
        <v>1.4</v>
      </c>
      <c r="D12" s="21" t="n">
        <v>1.4</v>
      </c>
      <c r="E12" s="20" t="n">
        <f aca="false">D12</f>
        <v>1.4</v>
      </c>
      <c r="F12" s="2" t="s">
        <v>26</v>
      </c>
      <c r="G12" s="2" t="s">
        <v>27</v>
      </c>
    </row>
    <row r="13" customFormat="false" ht="15" hidden="false" customHeight="false" outlineLevel="0" collapsed="false">
      <c r="A13" s="2" t="s">
        <v>28</v>
      </c>
      <c r="B13" s="22" t="n">
        <f aca="false">INDEX(C13:E13,$C$4)</f>
        <v>0.087</v>
      </c>
      <c r="C13" s="23" t="n">
        <f aca="false">D13</f>
        <v>0.087</v>
      </c>
      <c r="D13" s="24" t="n">
        <v>0.087</v>
      </c>
      <c r="E13" s="23" t="n">
        <f aca="false">D13</f>
        <v>0.087</v>
      </c>
      <c r="F13" s="2" t="s">
        <v>29</v>
      </c>
      <c r="G13" s="2" t="s">
        <v>30</v>
      </c>
    </row>
    <row r="14" customFormat="false" ht="15" hidden="false" customHeight="false" outlineLevel="0" collapsed="false">
      <c r="A14" s="2" t="s">
        <v>31</v>
      </c>
      <c r="B14" s="9" t="n">
        <f aca="false">INDEX(C14:E14,$C$4)</f>
        <v>0.3</v>
      </c>
      <c r="C14" s="10" t="n">
        <f aca="false">D14</f>
        <v>0.3</v>
      </c>
      <c r="D14" s="11" t="n">
        <v>0.3</v>
      </c>
      <c r="E14" s="10" t="n">
        <f aca="false">D14</f>
        <v>0.3</v>
      </c>
      <c r="F14" s="2" t="s">
        <v>32</v>
      </c>
      <c r="G14" s="2" t="s">
        <v>33</v>
      </c>
    </row>
    <row r="15" customFormat="false" ht="15" hidden="false" customHeight="false" outlineLevel="0" collapsed="false">
      <c r="A15" s="2" t="s">
        <v>34</v>
      </c>
      <c r="B15" s="12" t="n">
        <f aca="false">INDEX(C15:E15,$C$4)</f>
        <v>5</v>
      </c>
      <c r="C15" s="13" t="n">
        <v>6</v>
      </c>
      <c r="D15" s="13" t="n">
        <v>5</v>
      </c>
      <c r="E15" s="13" t="n">
        <v>4</v>
      </c>
      <c r="F15" s="2" t="s">
        <v>17</v>
      </c>
      <c r="G15" s="2" t="s">
        <v>35</v>
      </c>
    </row>
    <row r="16" customFormat="false" ht="15" hidden="false" customHeight="false" outlineLevel="0" collapsed="false">
      <c r="A16" s="2" t="s">
        <v>36</v>
      </c>
      <c r="B16" s="15" t="n">
        <f aca="false">INDEX(C16:E16,$C$4)</f>
        <v>0.05</v>
      </c>
      <c r="C16" s="16" t="n">
        <f aca="false">D16</f>
        <v>0.05</v>
      </c>
      <c r="D16" s="18" t="n">
        <v>0.05</v>
      </c>
      <c r="E16" s="16" t="n">
        <f aca="false">D16</f>
        <v>0.05</v>
      </c>
      <c r="F16" s="2" t="s">
        <v>37</v>
      </c>
      <c r="G16" s="2" t="s">
        <v>38</v>
      </c>
    </row>
    <row r="17" customFormat="false" ht="15" hidden="false" customHeight="false" outlineLevel="0" collapsed="false">
      <c r="A17" s="2" t="s">
        <v>39</v>
      </c>
      <c r="B17" s="15" t="n">
        <f aca="false">INDEX(C17:E17,$C$4)</f>
        <v>0.11</v>
      </c>
      <c r="C17" s="16" t="n">
        <f aca="false">D17</f>
        <v>0.11</v>
      </c>
      <c r="D17" s="18" t="n">
        <v>0.11</v>
      </c>
      <c r="E17" s="16" t="n">
        <f aca="false">D17</f>
        <v>0.11</v>
      </c>
      <c r="F17" s="2" t="s">
        <v>40</v>
      </c>
      <c r="G17" s="2" t="s">
        <v>41</v>
      </c>
    </row>
    <row r="18" customFormat="false" ht="15" hidden="false" customHeight="false" outlineLevel="0" collapsed="false">
      <c r="A18" s="2" t="s">
        <v>42</v>
      </c>
      <c r="B18" s="15" t="n">
        <f aca="false">INDEX(C18:E18,$C$4)</f>
        <v>0.21</v>
      </c>
      <c r="C18" s="16" t="n">
        <f aca="false">D18</f>
        <v>0.21</v>
      </c>
      <c r="D18" s="18" t="n">
        <v>0.21</v>
      </c>
      <c r="E18" s="16" t="n">
        <f aca="false">D18</f>
        <v>0.21</v>
      </c>
      <c r="F18" s="2" t="s">
        <v>40</v>
      </c>
      <c r="G18" s="2" t="s">
        <v>43</v>
      </c>
    </row>
    <row r="19" customFormat="false" ht="15" hidden="false" customHeight="false" outlineLevel="0" collapsed="false">
      <c r="A19" s="2" t="s">
        <v>44</v>
      </c>
      <c r="B19" s="25" t="n">
        <f aca="false">INDEX(C19:E19,$C$4)</f>
        <v>8760</v>
      </c>
      <c r="C19" s="26" t="n">
        <f aca="false">D19</f>
        <v>8760</v>
      </c>
      <c r="D19" s="27" t="n">
        <v>8760</v>
      </c>
      <c r="E19" s="26" t="n">
        <f aca="false">D19</f>
        <v>8760</v>
      </c>
      <c r="F19" s="2" t="s">
        <v>45</v>
      </c>
      <c r="G19" s="2"/>
    </row>
  </sheetData>
  <dataValidations count="1">
    <dataValidation allowBlank="false" errorStyle="stop" operator="between" showDropDown="false" showErrorMessage="false" showInputMessage="false" sqref="B4" type="list">
      <formula1>"Bull,Base,Bear"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0" min="2" style="0" width="12"/>
  </cols>
  <sheetData>
    <row r="1" customFormat="false" ht="1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15" hidden="false" customHeight="false" outlineLevel="0" collapsed="false">
      <c r="A4" s="3" t="s">
        <v>48</v>
      </c>
      <c r="B4" s="5" t="s">
        <v>49</v>
      </c>
      <c r="C4" s="5" t="s">
        <v>50</v>
      </c>
      <c r="D4" s="5" t="s">
        <v>51</v>
      </c>
      <c r="E4" s="5" t="s">
        <v>52</v>
      </c>
      <c r="F4" s="5" t="s">
        <v>53</v>
      </c>
      <c r="G4" s="5" t="s">
        <v>54</v>
      </c>
      <c r="H4" s="5" t="s">
        <v>55</v>
      </c>
      <c r="I4" s="5" t="s">
        <v>56</v>
      </c>
      <c r="J4" s="5" t="s">
        <v>57</v>
      </c>
    </row>
    <row r="5" customFormat="false" ht="15" hidden="false" customHeight="false" outlineLevel="0" collapsed="false">
      <c r="A5" s="28" t="s">
        <v>58</v>
      </c>
      <c r="C5" s="12" t="n">
        <f aca="false">IF(1&lt;=Inputs!$B$15,1,0)</f>
        <v>1</v>
      </c>
      <c r="D5" s="12" t="n">
        <f aca="false">IF(2&lt;=Inputs!$B$15,1,0)</f>
        <v>1</v>
      </c>
      <c r="E5" s="12" t="n">
        <f aca="false">IF(3&lt;=Inputs!$B$15,1,0)</f>
        <v>1</v>
      </c>
      <c r="F5" s="12" t="n">
        <f aca="false">IF(4&lt;=Inputs!$B$15,1,0)</f>
        <v>1</v>
      </c>
      <c r="G5" s="12" t="n">
        <f aca="false">IF(5&lt;=Inputs!$B$15,1,0)</f>
        <v>1</v>
      </c>
      <c r="H5" s="12" t="n">
        <f aca="false">IF(6&lt;=Inputs!$B$15,1,0)</f>
        <v>0</v>
      </c>
      <c r="I5" s="12" t="n">
        <f aca="false">IF(7&lt;=Inputs!$B$15,1,0)</f>
        <v>0</v>
      </c>
      <c r="J5" s="12" t="n">
        <f aca="false">IF(8&lt;=Inputs!$B$15,1,0)</f>
        <v>0</v>
      </c>
    </row>
    <row r="6" customFormat="false" ht="15" hidden="false" customHeight="false" outlineLevel="0" collapsed="false">
      <c r="A6" s="28" t="s">
        <v>59</v>
      </c>
      <c r="C6" s="9" t="n">
        <f aca="false">IF(1&lt;=Inputs!$B$9,Inputs!$B$8,Inputs!$B$8*(1-Inputs!$B$10)^(1-1))*C5</f>
        <v>2.35</v>
      </c>
      <c r="D6" s="9" t="n">
        <f aca="false">IF(2&lt;=Inputs!$B$9,Inputs!$B$8,Inputs!$B$8*(1-Inputs!$B$10)^(2-1))*D5</f>
        <v>1.786</v>
      </c>
      <c r="E6" s="9" t="n">
        <f aca="false">IF(3&lt;=Inputs!$B$9,Inputs!$B$8,Inputs!$B$8*(1-Inputs!$B$10)^(3-1))*E5</f>
        <v>1.35736</v>
      </c>
      <c r="F6" s="9" t="n">
        <f aca="false">IF(4&lt;=Inputs!$B$9,Inputs!$B$8,Inputs!$B$8*(1-Inputs!$B$10)^(4-1))*F5</f>
        <v>1.0315936</v>
      </c>
      <c r="G6" s="9" t="n">
        <f aca="false">IF(5&lt;=Inputs!$B$9,Inputs!$B$8,Inputs!$B$8*(1-Inputs!$B$10)^(5-1))*G5</f>
        <v>0.784011136</v>
      </c>
      <c r="H6" s="9" t="n">
        <f aca="false">IF(6&lt;=Inputs!$B$9,Inputs!$B$8,Inputs!$B$8*(1-Inputs!$B$10)^(6-1))*H5</f>
        <v>0</v>
      </c>
      <c r="I6" s="9" t="n">
        <f aca="false">IF(7&lt;=Inputs!$B$9,Inputs!$B$8,Inputs!$B$8*(1-Inputs!$B$10)^(7-1))*I5</f>
        <v>0</v>
      </c>
      <c r="J6" s="9" t="n">
        <f aca="false">IF(8&lt;=Inputs!$B$9,Inputs!$B$8,Inputs!$B$8*(1-Inputs!$B$10)^(8-1))*J5</f>
        <v>0</v>
      </c>
    </row>
    <row r="7" customFormat="false" ht="15" hidden="false" customHeight="false" outlineLevel="0" collapsed="false">
      <c r="A7" s="28" t="s">
        <v>60</v>
      </c>
      <c r="C7" s="6" t="n">
        <f aca="false">C6*Inputs!$B$19*Inputs!$B$11</f>
        <v>17498.1</v>
      </c>
      <c r="D7" s="6" t="n">
        <f aca="false">D6*Inputs!$B$19*Inputs!$B$11</f>
        <v>13298.556</v>
      </c>
      <c r="E7" s="6" t="n">
        <f aca="false">E6*Inputs!$B$19*Inputs!$B$11</f>
        <v>10106.90256</v>
      </c>
      <c r="F7" s="6" t="n">
        <f aca="false">F6*Inputs!$B$19*Inputs!$B$11</f>
        <v>7681.2459456</v>
      </c>
      <c r="G7" s="6" t="n">
        <f aca="false">G6*Inputs!$B$19*Inputs!$B$11</f>
        <v>5837.746918656</v>
      </c>
      <c r="H7" s="6" t="n">
        <f aca="false">H6*Inputs!$B$19*Inputs!$B$11</f>
        <v>0</v>
      </c>
      <c r="I7" s="6" t="n">
        <f aca="false">I6*Inputs!$B$19*Inputs!$B$11</f>
        <v>0</v>
      </c>
      <c r="J7" s="6" t="n">
        <f aca="false">J6*Inputs!$B$19*Inputs!$B$11</f>
        <v>0</v>
      </c>
    </row>
    <row r="8" customFormat="false" ht="15" hidden="false" customHeight="false" outlineLevel="0" collapsed="false">
      <c r="A8" s="28" t="s">
        <v>61</v>
      </c>
      <c r="C8" s="6" t="n">
        <f aca="false">-Inputs!$B$12*Inputs!$B$19*Inputs!$B$11*Inputs!$B$13*C5</f>
        <v>-906.9228</v>
      </c>
      <c r="D8" s="6" t="n">
        <f aca="false">-Inputs!$B$12*Inputs!$B$19*Inputs!$B$11*Inputs!$B$13*D5</f>
        <v>-906.9228</v>
      </c>
      <c r="E8" s="6" t="n">
        <f aca="false">-Inputs!$B$12*Inputs!$B$19*Inputs!$B$11*Inputs!$B$13*E5</f>
        <v>-906.9228</v>
      </c>
      <c r="F8" s="6" t="n">
        <f aca="false">-Inputs!$B$12*Inputs!$B$19*Inputs!$B$11*Inputs!$B$13*F5</f>
        <v>-906.9228</v>
      </c>
      <c r="G8" s="6" t="n">
        <f aca="false">-Inputs!$B$12*Inputs!$B$19*Inputs!$B$11*Inputs!$B$13*G5</f>
        <v>-906.9228</v>
      </c>
      <c r="H8" s="6" t="n">
        <f aca="false">-Inputs!$B$12*Inputs!$B$19*Inputs!$B$11*Inputs!$B$13*H5</f>
        <v>-0</v>
      </c>
      <c r="I8" s="6" t="n">
        <f aca="false">-Inputs!$B$12*Inputs!$B$19*Inputs!$B$11*Inputs!$B$13*I5</f>
        <v>-0</v>
      </c>
      <c r="J8" s="6" t="n">
        <f aca="false">-Inputs!$B$12*Inputs!$B$19*Inputs!$B$11*Inputs!$B$13*J5</f>
        <v>-0</v>
      </c>
    </row>
    <row r="9" customFormat="false" ht="15" hidden="false" customHeight="false" outlineLevel="0" collapsed="false">
      <c r="A9" s="28" t="s">
        <v>31</v>
      </c>
      <c r="C9" s="6" t="n">
        <f aca="false">-Inputs!$B$14*Inputs!$B$19*C5</f>
        <v>-2628</v>
      </c>
      <c r="D9" s="6" t="n">
        <f aca="false">-Inputs!$B$14*Inputs!$B$19*D5</f>
        <v>-2628</v>
      </c>
      <c r="E9" s="6" t="n">
        <f aca="false">-Inputs!$B$14*Inputs!$B$19*E5</f>
        <v>-2628</v>
      </c>
      <c r="F9" s="6" t="n">
        <f aca="false">-Inputs!$B$14*Inputs!$B$19*F5</f>
        <v>-2628</v>
      </c>
      <c r="G9" s="6" t="n">
        <f aca="false">-Inputs!$B$14*Inputs!$B$19*G5</f>
        <v>-2628</v>
      </c>
      <c r="H9" s="6" t="n">
        <f aca="false">-Inputs!$B$14*Inputs!$B$19*H5</f>
        <v>-0</v>
      </c>
      <c r="I9" s="6" t="n">
        <f aca="false">-Inputs!$B$14*Inputs!$B$19*I5</f>
        <v>-0</v>
      </c>
      <c r="J9" s="6" t="n">
        <f aca="false">-Inputs!$B$14*Inputs!$B$19*J5</f>
        <v>-0</v>
      </c>
    </row>
    <row r="10" customFormat="false" ht="15" hidden="false" customHeight="false" outlineLevel="0" collapsed="false">
      <c r="A10" s="3" t="s">
        <v>62</v>
      </c>
      <c r="C10" s="6" t="n">
        <f aca="false">C7+C8+C9</f>
        <v>13963.1772</v>
      </c>
      <c r="D10" s="6" t="n">
        <f aca="false">D7+D8+D9</f>
        <v>9763.6332</v>
      </c>
      <c r="E10" s="6" t="n">
        <f aca="false">E7+E8+E9</f>
        <v>6571.97976</v>
      </c>
      <c r="F10" s="6" t="n">
        <f aca="false">F7+F8+F9</f>
        <v>4146.3231456</v>
      </c>
      <c r="G10" s="6" t="n">
        <f aca="false">G7+G8+G9</f>
        <v>2302.824118656</v>
      </c>
      <c r="H10" s="6" t="n">
        <f aca="false">H7+H8+H9</f>
        <v>0</v>
      </c>
      <c r="I10" s="6" t="n">
        <f aca="false">I7+I8+I9</f>
        <v>0</v>
      </c>
      <c r="J10" s="6" t="n">
        <f aca="false">J7+J8+J9</f>
        <v>0</v>
      </c>
    </row>
    <row r="11" customFormat="false" ht="15" hidden="false" customHeight="false" outlineLevel="0" collapsed="false">
      <c r="A11" s="28" t="s">
        <v>63</v>
      </c>
      <c r="C11" s="6" t="n">
        <f aca="false">-Inputs!$B$7/Inputs!$B$15*C5</f>
        <v>-7000</v>
      </c>
      <c r="D11" s="6" t="n">
        <f aca="false">-Inputs!$B$7/Inputs!$B$15*D5</f>
        <v>-7000</v>
      </c>
      <c r="E11" s="6" t="n">
        <f aca="false">-Inputs!$B$7/Inputs!$B$15*E5</f>
        <v>-7000</v>
      </c>
      <c r="F11" s="6" t="n">
        <f aca="false">-Inputs!$B$7/Inputs!$B$15*F5</f>
        <v>-7000</v>
      </c>
      <c r="G11" s="6" t="n">
        <f aca="false">-Inputs!$B$7/Inputs!$B$15*G5</f>
        <v>-7000</v>
      </c>
      <c r="H11" s="6" t="n">
        <f aca="false">-Inputs!$B$7/Inputs!$B$15*H5</f>
        <v>-0</v>
      </c>
      <c r="I11" s="6" t="n">
        <f aca="false">-Inputs!$B$7/Inputs!$B$15*I5</f>
        <v>-0</v>
      </c>
      <c r="J11" s="6" t="n">
        <f aca="false">-Inputs!$B$7/Inputs!$B$15*J5</f>
        <v>-0</v>
      </c>
    </row>
    <row r="12" customFormat="false" ht="15" hidden="false" customHeight="false" outlineLevel="0" collapsed="false">
      <c r="A12" s="28" t="s">
        <v>64</v>
      </c>
      <c r="C12" s="6" t="n">
        <f aca="false">C10+C11</f>
        <v>6963.1772</v>
      </c>
      <c r="D12" s="6" t="n">
        <f aca="false">D10+D11</f>
        <v>2763.6332</v>
      </c>
      <c r="E12" s="6" t="n">
        <f aca="false">E10+E11</f>
        <v>-428.02024</v>
      </c>
      <c r="F12" s="6" t="n">
        <f aca="false">F10+F11</f>
        <v>-2853.6768544</v>
      </c>
      <c r="G12" s="6" t="n">
        <f aca="false">G10+G11</f>
        <v>-4697.175881344</v>
      </c>
      <c r="H12" s="6" t="n">
        <f aca="false">H10+H11</f>
        <v>0</v>
      </c>
      <c r="I12" s="6" t="n">
        <f aca="false">I10+I11</f>
        <v>0</v>
      </c>
      <c r="J12" s="6" t="n">
        <f aca="false">J10+J11</f>
        <v>0</v>
      </c>
    </row>
    <row r="13" customFormat="false" ht="15" hidden="false" customHeight="false" outlineLevel="0" collapsed="false">
      <c r="A13" s="28" t="s">
        <v>65</v>
      </c>
      <c r="C13" s="6" t="n">
        <f aca="false">-C12*Inputs!$B$18</f>
        <v>-1462.267212</v>
      </c>
      <c r="D13" s="6" t="n">
        <f aca="false">-D12*Inputs!$B$18</f>
        <v>-580.362972</v>
      </c>
      <c r="E13" s="6" t="n">
        <f aca="false">-E12*Inputs!$B$18</f>
        <v>89.8842504</v>
      </c>
      <c r="F13" s="6" t="n">
        <f aca="false">-F12*Inputs!$B$18</f>
        <v>599.272139424</v>
      </c>
      <c r="G13" s="6" t="n">
        <f aca="false">-G12*Inputs!$B$18</f>
        <v>986.40693508224</v>
      </c>
      <c r="H13" s="6" t="n">
        <f aca="false">-H12*Inputs!$B$18</f>
        <v>-0</v>
      </c>
      <c r="I13" s="6" t="n">
        <f aca="false">-I12*Inputs!$B$18</f>
        <v>-0</v>
      </c>
      <c r="J13" s="6" t="n">
        <f aca="false">-J12*Inputs!$B$18</f>
        <v>-0</v>
      </c>
    </row>
    <row r="14" customFormat="false" ht="15" hidden="false" customHeight="false" outlineLevel="0" collapsed="false">
      <c r="A14" s="28" t="s">
        <v>36</v>
      </c>
      <c r="C14" s="6" t="n">
        <f aca="false">IF(1=Inputs!$B$15,Inputs!$B$16*Inputs!$B$7,0)</f>
        <v>0</v>
      </c>
      <c r="D14" s="6" t="n">
        <f aca="false">IF(2=Inputs!$B$15,Inputs!$B$16*Inputs!$B$7,0)</f>
        <v>0</v>
      </c>
      <c r="E14" s="6" t="n">
        <f aca="false">IF(3=Inputs!$B$15,Inputs!$B$16*Inputs!$B$7,0)</f>
        <v>0</v>
      </c>
      <c r="F14" s="6" t="n">
        <f aca="false">IF(4=Inputs!$B$15,Inputs!$B$16*Inputs!$B$7,0)</f>
        <v>0</v>
      </c>
      <c r="G14" s="6" t="n">
        <f aca="false">IF(5=Inputs!$B$15,Inputs!$B$16*Inputs!$B$7,0)</f>
        <v>1750</v>
      </c>
      <c r="H14" s="6" t="n">
        <f aca="false">IF(6=Inputs!$B$15,Inputs!$B$16*Inputs!$B$7,0)</f>
        <v>0</v>
      </c>
      <c r="I14" s="6" t="n">
        <f aca="false">IF(7=Inputs!$B$15,Inputs!$B$16*Inputs!$B$7,0)</f>
        <v>0</v>
      </c>
      <c r="J14" s="6" t="n">
        <f aca="false">IF(8=Inputs!$B$15,Inputs!$B$16*Inputs!$B$7,0)</f>
        <v>0</v>
      </c>
    </row>
    <row r="15" customFormat="false" ht="15" hidden="false" customHeight="false" outlineLevel="0" collapsed="false">
      <c r="A15" s="3" t="s">
        <v>66</v>
      </c>
      <c r="B15" s="6" t="n">
        <f aca="false">-Inputs!$B$7</f>
        <v>-35000</v>
      </c>
      <c r="C15" s="6" t="n">
        <f aca="false">C10+C13+C14</f>
        <v>12500.909988</v>
      </c>
      <c r="D15" s="6" t="n">
        <f aca="false">D10+D13+D14</f>
        <v>9183.270228</v>
      </c>
      <c r="E15" s="6" t="n">
        <f aca="false">E10+E13+E14</f>
        <v>6661.8640104</v>
      </c>
      <c r="F15" s="6" t="n">
        <f aca="false">F10+F13+F14</f>
        <v>4745.595285024</v>
      </c>
      <c r="G15" s="6" t="n">
        <f aca="false">G10+G13+G14</f>
        <v>5039.23105373824</v>
      </c>
      <c r="H15" s="6" t="n">
        <f aca="false">H10+H13+H14</f>
        <v>0</v>
      </c>
      <c r="I15" s="6" t="n">
        <f aca="false">I10+I13+I14</f>
        <v>0</v>
      </c>
      <c r="J15" s="6" t="n">
        <f aca="false">J10+J13+J14</f>
        <v>0</v>
      </c>
    </row>
    <row r="16" customFormat="false" ht="15" hidden="false" customHeight="false" outlineLevel="0" collapsed="false">
      <c r="A16" s="28" t="s">
        <v>67</v>
      </c>
      <c r="B16" s="6" t="n">
        <f aca="false">B15</f>
        <v>-35000</v>
      </c>
      <c r="C16" s="6" t="n">
        <f aca="false">B16+C15</f>
        <v>-22499.090012</v>
      </c>
      <c r="D16" s="6" t="n">
        <f aca="false">C16+D15</f>
        <v>-13315.819784</v>
      </c>
      <c r="E16" s="6" t="n">
        <f aca="false">D16+E15</f>
        <v>-6653.9557736</v>
      </c>
      <c r="F16" s="6" t="n">
        <f aca="false">E16+F15</f>
        <v>-1908.360488576</v>
      </c>
      <c r="G16" s="6" t="n">
        <f aca="false">F16+G15</f>
        <v>3130.87056516224</v>
      </c>
      <c r="H16" s="6" t="n">
        <f aca="false">G16+H15</f>
        <v>3130.87056516224</v>
      </c>
      <c r="I16" s="6" t="n">
        <f aca="false">H16+I15</f>
        <v>3130.87056516224</v>
      </c>
      <c r="J16" s="6" t="n">
        <f aca="false">I16+J15</f>
        <v>3130.87056516224</v>
      </c>
    </row>
    <row r="17" customFormat="false" ht="15" hidden="false" customHeight="false" outlineLevel="0" collapsed="false">
      <c r="A17" s="28" t="s">
        <v>68</v>
      </c>
      <c r="C17" s="29" t="n">
        <f aca="false">IF(Inputs!$B$8&gt;0,C6/Inputs!$B$8,0)*Inputs!$B$19*Inputs!$B$11*(1-Inputs!$B$18)/(1+Inputs!$B$17)^1</f>
        <v>5299.40540540541</v>
      </c>
      <c r="D17" s="29" t="n">
        <f aca="false">IF(Inputs!$B$8&gt;0,D6/Inputs!$B$8,0)*Inputs!$B$19*Inputs!$B$11*(1-Inputs!$B$18)/(1+Inputs!$B$17)^2</f>
        <v>3628.42171901631</v>
      </c>
      <c r="E17" s="29" t="n">
        <f aca="false">IF(Inputs!$B$8&gt;0,E6/Inputs!$B$8,0)*Inputs!$B$19*Inputs!$B$11*(1-Inputs!$B$18)/(1+Inputs!$B$17)^3</f>
        <v>2484.32478058775</v>
      </c>
      <c r="F17" s="29" t="n">
        <f aca="false">IF(Inputs!$B$8&gt;0,F6/Inputs!$B$8,0)*Inputs!$B$19*Inputs!$B$11*(1-Inputs!$B$18)/(1+Inputs!$B$17)^4</f>
        <v>1700.97912905107</v>
      </c>
      <c r="G17" s="29" t="n">
        <f aca="false">IF(Inputs!$B$8&gt;0,G6/Inputs!$B$8,0)*Inputs!$B$19*Inputs!$B$11*(1-Inputs!$B$18)/(1+Inputs!$B$17)^5</f>
        <v>1164.63435862956</v>
      </c>
      <c r="H17" s="29" t="n">
        <f aca="false">IF(Inputs!$B$8&gt;0,H6/Inputs!$B$8,0)*Inputs!$B$19*Inputs!$B$11*(1-Inputs!$B$18)/(1+Inputs!$B$17)^6</f>
        <v>0</v>
      </c>
      <c r="I17" s="29" t="n">
        <f aca="false">IF(Inputs!$B$8&gt;0,I6/Inputs!$B$8,0)*Inputs!$B$19*Inputs!$B$11*(1-Inputs!$B$18)/(1+Inputs!$B$17)^7</f>
        <v>0</v>
      </c>
      <c r="J17" s="29" t="n">
        <f aca="false">IF(Inputs!$B$8&gt;0,J6/Inputs!$B$8,0)*Inputs!$B$19*Inputs!$B$11*(1-Inputs!$B$18)/(1+Inputs!$B$17)^8</f>
        <v>0</v>
      </c>
    </row>
    <row r="18" customFormat="false" ht="15" hidden="false" customHeight="false" outlineLevel="0" collapsed="false">
      <c r="A18" s="28" t="s">
        <v>69</v>
      </c>
      <c r="B18" s="29" t="n">
        <v>-1</v>
      </c>
      <c r="C18" s="29" t="n">
        <f aca="false">(C5*Inputs!$B$18/Inputs!$B$15+IF(1=Inputs!$B$15,Inputs!$B$16,0))/(1+Inputs!$B$17)^1</f>
        <v>0.0378378378378378</v>
      </c>
      <c r="D18" s="29" t="n">
        <f aca="false">(D5*Inputs!$B$18/Inputs!$B$15+IF(2=Inputs!$B$15,Inputs!$B$16,0))/(1+Inputs!$B$17)^2</f>
        <v>0.0340881421962503</v>
      </c>
      <c r="E18" s="29" t="n">
        <f aca="false">(E5*Inputs!$B$18/Inputs!$B$15+IF(3=Inputs!$B$15,Inputs!$B$16,0))/(1+Inputs!$B$17)^3</f>
        <v>0.0307100380146399</v>
      </c>
      <c r="F18" s="29" t="n">
        <f aca="false">(F5*Inputs!$B$18/Inputs!$B$15+IF(4=Inputs!$B$15,Inputs!$B$16,0))/(1+Inputs!$B$17)^4</f>
        <v>0.02766670091409</v>
      </c>
      <c r="G18" s="29" t="n">
        <f aca="false">(G5*Inputs!$B$18/Inputs!$B$15+IF(5=Inputs!$B$15,Inputs!$B$16,0))/(1+Inputs!$B$17)^5</f>
        <v>0.0545975221813874</v>
      </c>
      <c r="H18" s="29" t="n">
        <f aca="false">(H5*Inputs!$B$18/Inputs!$B$15+IF(6=Inputs!$B$15,Inputs!$B$16,0))/(1+Inputs!$B$17)^6</f>
        <v>0</v>
      </c>
      <c r="I18" s="29" t="n">
        <f aca="false">(I5*Inputs!$B$18/Inputs!$B$15+IF(7=Inputs!$B$15,Inputs!$B$16,0))/(1+Inputs!$B$17)^7</f>
        <v>0</v>
      </c>
      <c r="J18" s="29" t="n">
        <f aca="false">(J5*Inputs!$B$18/Inputs!$B$15+IF(8=Inputs!$B$15,Inputs!$B$16,0))/(1+Inputs!$B$17)^8</f>
        <v>0</v>
      </c>
    </row>
    <row r="21" customFormat="false" ht="15" hidden="false" customHeight="false" outlineLevel="0" collapsed="false">
      <c r="A21" s="1" t="s">
        <v>70</v>
      </c>
    </row>
    <row r="22" customFormat="false" ht="15" hidden="false" customHeight="false" outlineLevel="0" collapsed="false">
      <c r="A22" s="2" t="s">
        <v>71</v>
      </c>
      <c r="B22" s="30" t="n">
        <f aca="false">B15+NPV(Inputs!$B$17,C15:J15)</f>
        <v>-5296.86428810256</v>
      </c>
    </row>
    <row r="23" customFormat="false" ht="15" hidden="false" customHeight="false" outlineLevel="0" collapsed="false">
      <c r="A23" s="2" t="s">
        <v>72</v>
      </c>
      <c r="B23" s="30" t="n">
        <f aca="false">B22*1000</f>
        <v>-5296864.28810256</v>
      </c>
    </row>
    <row r="24" customFormat="false" ht="15" hidden="false" customHeight="false" outlineLevel="0" collapsed="false">
      <c r="A24" s="2" t="s">
        <v>73</v>
      </c>
      <c r="B24" s="31" t="n">
        <f aca="false">IFERROR(IRR(B15:J15),"n/a")</f>
        <v>0.0354616945411171</v>
      </c>
    </row>
    <row r="25" customFormat="false" ht="15" hidden="false" customHeight="false" outlineLevel="0" collapsed="false">
      <c r="A25" s="2" t="s">
        <v>74</v>
      </c>
      <c r="B25" s="32" t="n">
        <f aca="false">IFERROR(MATCH(TRUE(),INDEX(C16:J16&gt;=0,0),0)-1+(-INDEX(B16:I16,MATCH(TRUE(),INDEX(C16:J16&gt;=0,0),0))/INDEX(C15:J15,MATCH(TRUE(),INDEX(C16:J16&gt;=0,0),0))),"Not within life")</f>
        <v>4.37870073196194</v>
      </c>
    </row>
    <row r="26" customFormat="false" ht="15" hidden="false" customHeight="false" outlineLevel="0" collapsed="false">
      <c r="A26" s="2" t="s">
        <v>75</v>
      </c>
      <c r="B26" s="33" t="n">
        <f aca="false">Inputs!$B$8-B22/SUM(C17:J17)</f>
        <v>2.72098692564415</v>
      </c>
      <c r="C26" s="2" t="s">
        <v>76</v>
      </c>
    </row>
    <row r="27" customFormat="false" ht="15" hidden="false" customHeight="false" outlineLevel="0" collapsed="false">
      <c r="A27" s="2" t="s">
        <v>77</v>
      </c>
      <c r="B27" s="30" t="n">
        <f aca="false">Inputs!$B$7-B22/SUM(B18:J18)</f>
        <v>28501.5754445344</v>
      </c>
    </row>
    <row r="28" customFormat="false" ht="15" hidden="false" customHeight="false" outlineLevel="0" collapsed="false">
      <c r="A28" s="2" t="s">
        <v>78</v>
      </c>
      <c r="B28" s="33" t="n">
        <f aca="false">Inputs!$B$12*Inputs!$B$13+Inputs!$B$14/Inputs!$B$11</f>
        <v>0.474741176470588</v>
      </c>
    </row>
    <row r="29" customFormat="false" ht="15" hidden="false" customHeight="false" outlineLevel="0" collapsed="false">
      <c r="A29" s="2" t="s">
        <v>79</v>
      </c>
      <c r="B29" s="31" t="n">
        <f aca="false">IFERROR(C12/C7,0)</f>
        <v>0.397939044810579</v>
      </c>
    </row>
    <row r="30" customFormat="false" ht="15" hidden="false" customHeight="false" outlineLevel="0" collapsed="false">
      <c r="A30" s="2" t="s">
        <v>80</v>
      </c>
      <c r="B30" s="31" t="n">
        <f aca="false">IFERROR((C10-Inputs!$B$7/6)/C7,0)</f>
        <v>0.46461295035842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6"/>
  </cols>
  <sheetData>
    <row r="1" customFormat="false" ht="15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82</v>
      </c>
    </row>
    <row r="4" customFormat="false" ht="15" hidden="false" customHeight="false" outlineLevel="0" collapsed="false">
      <c r="A4" s="2" t="s">
        <v>83</v>
      </c>
      <c r="B4" s="34" t="n">
        <v>2026.67</v>
      </c>
    </row>
    <row r="6" customFormat="false" ht="15" hidden="false" customHeight="false" outlineLevel="0" collapsed="false">
      <c r="A6" s="5" t="s">
        <v>84</v>
      </c>
      <c r="B6" s="5" t="s">
        <v>85</v>
      </c>
      <c r="C6" s="5" t="s">
        <v>86</v>
      </c>
      <c r="D6" s="5" t="s">
        <v>87</v>
      </c>
      <c r="E6" s="5" t="s">
        <v>88</v>
      </c>
      <c r="F6" s="5" t="s">
        <v>89</v>
      </c>
    </row>
    <row r="7" customFormat="false" ht="15" hidden="false" customHeight="false" outlineLevel="0" collapsed="false">
      <c r="A7" s="2" t="s">
        <v>90</v>
      </c>
      <c r="B7" s="34" t="n">
        <v>2020.4</v>
      </c>
      <c r="C7" s="35" t="n">
        <f aca="false">$B$4-B7</f>
        <v>6.26999999999998</v>
      </c>
      <c r="D7" s="11" t="n">
        <v>1.74</v>
      </c>
      <c r="E7" s="29" t="n">
        <f aca="false">LN(D7)</f>
        <v>0.553885113226438</v>
      </c>
      <c r="F7" s="18" t="n">
        <v>0.041</v>
      </c>
    </row>
    <row r="8" customFormat="false" ht="15" hidden="false" customHeight="false" outlineLevel="0" collapsed="false">
      <c r="A8" s="2" t="s">
        <v>91</v>
      </c>
      <c r="B8" s="34" t="n">
        <v>2022.9</v>
      </c>
      <c r="C8" s="35" t="n">
        <f aca="false">$B$4-B8</f>
        <v>3.76999999999998</v>
      </c>
      <c r="D8" s="11" t="n">
        <v>3.36</v>
      </c>
      <c r="E8" s="29" t="n">
        <f aca="false">LN(D8)</f>
        <v>1.21194097397511</v>
      </c>
      <c r="F8" s="18" t="n">
        <v>0.126</v>
      </c>
    </row>
    <row r="9" customFormat="false" ht="15" hidden="false" customHeight="false" outlineLevel="0" collapsed="false">
      <c r="A9" s="2" t="s">
        <v>92</v>
      </c>
      <c r="B9" s="34" t="n">
        <v>2024.3</v>
      </c>
      <c r="C9" s="35" t="n">
        <f aca="false">$B$4-B9</f>
        <v>2.37000000000012</v>
      </c>
      <c r="D9" s="11" t="n">
        <v>4.45</v>
      </c>
      <c r="E9" s="29" t="n">
        <f aca="false">LN(D9)</f>
        <v>1.49290409617815</v>
      </c>
      <c r="F9" s="18" t="n">
        <v>0.27</v>
      </c>
    </row>
    <row r="10" customFormat="false" ht="15" hidden="false" customHeight="false" outlineLevel="0" collapsed="false">
      <c r="A10" s="2" t="s">
        <v>93</v>
      </c>
      <c r="B10" s="34" t="n">
        <v>2025.1</v>
      </c>
      <c r="C10" s="35" t="n">
        <f aca="false">$B$4-B10</f>
        <v>1.57000000000016</v>
      </c>
      <c r="D10" s="11" t="n">
        <v>6.51</v>
      </c>
      <c r="E10" s="29" t="n">
        <f aca="false">LN(D10)</f>
        <v>1.87333945622048</v>
      </c>
      <c r="F10" s="18" t="n">
        <v>0.142</v>
      </c>
    </row>
    <row r="11" customFormat="false" ht="15" hidden="false" customHeight="false" outlineLevel="0" collapsed="false">
      <c r="A11" s="2" t="s">
        <v>94</v>
      </c>
      <c r="B11" s="34" t="n">
        <v>2025.8</v>
      </c>
      <c r="C11" s="35" t="n">
        <f aca="false">$B$4-B11</f>
        <v>0.870000000000118</v>
      </c>
      <c r="D11" s="11" t="n">
        <v>8.07</v>
      </c>
      <c r="E11" s="29" t="n">
        <f aca="false">LN(D11)</f>
        <v>2.08815348228186</v>
      </c>
      <c r="F11" s="18" t="n">
        <v>0.545</v>
      </c>
    </row>
    <row r="13" customFormat="false" ht="15" hidden="false" customHeight="false" outlineLevel="0" collapsed="false">
      <c r="A13" s="3" t="s">
        <v>95</v>
      </c>
      <c r="B13" s="36" t="n">
        <f aca="false">SLOPE(E7:E11,C7:C11)</f>
        <v>-0.279636711740433</v>
      </c>
    </row>
    <row r="14" customFormat="false" ht="15" hidden="false" customHeight="false" outlineLevel="0" collapsed="false">
      <c r="A14" s="3" t="s">
        <v>96</v>
      </c>
      <c r="B14" s="32" t="n">
        <f aca="false">RSQ(E7:E11,C7:C11)</f>
        <v>0.986226119132012</v>
      </c>
    </row>
    <row r="15" customFormat="false" ht="15" hidden="false" customHeight="false" outlineLevel="0" collapsed="false">
      <c r="A15" s="3" t="s">
        <v>97</v>
      </c>
      <c r="B15" s="31" t="n">
        <f aca="false">1-EXP(B13)</f>
        <v>0.243941641304643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1" t="s">
        <v>98</v>
      </c>
    </row>
    <row r="3" customFormat="false" ht="15" hidden="false" customHeight="false" outlineLevel="0" collapsed="false">
      <c r="A3" s="3" t="s">
        <v>99</v>
      </c>
      <c r="B3" s="3" t="s">
        <v>100</v>
      </c>
    </row>
    <row r="4" customFormat="false" ht="15" hidden="false" customHeight="false" outlineLevel="0" collapsed="false">
      <c r="A4" s="2" t="s">
        <v>101</v>
      </c>
      <c r="B4" s="11" t="n">
        <v>2.985</v>
      </c>
    </row>
    <row r="5" customFormat="false" ht="15" hidden="false" customHeight="false" outlineLevel="0" collapsed="false">
      <c r="A5" s="2" t="s">
        <v>102</v>
      </c>
      <c r="B5" s="11" t="n">
        <v>2.985</v>
      </c>
    </row>
    <row r="6" customFormat="false" ht="15" hidden="false" customHeight="false" outlineLevel="0" collapsed="false">
      <c r="A6" s="2" t="s">
        <v>103</v>
      </c>
      <c r="B6" s="11" t="n">
        <v>2.985</v>
      </c>
    </row>
    <row r="7" customFormat="false" ht="15" hidden="false" customHeight="false" outlineLevel="0" collapsed="false">
      <c r="A7" s="2" t="s">
        <v>104</v>
      </c>
      <c r="B7" s="11" t="n">
        <v>2.985</v>
      </c>
    </row>
    <row r="8" customFormat="false" ht="15" hidden="false" customHeight="false" outlineLevel="0" collapsed="false">
      <c r="A8" s="2" t="s">
        <v>105</v>
      </c>
      <c r="B8" s="11" t="n">
        <v>2.985</v>
      </c>
    </row>
    <row r="9" customFormat="false" ht="15" hidden="false" customHeight="false" outlineLevel="0" collapsed="false">
      <c r="A9" s="2" t="s">
        <v>106</v>
      </c>
      <c r="B9" s="11" t="n">
        <v>2.99</v>
      </c>
    </row>
    <row r="10" customFormat="false" ht="15" hidden="false" customHeight="false" outlineLevel="0" collapsed="false">
      <c r="A10" s="2" t="s">
        <v>107</v>
      </c>
      <c r="B10" s="11" t="n">
        <v>2.985</v>
      </c>
    </row>
    <row r="11" customFormat="false" ht="15" hidden="false" customHeight="false" outlineLevel="0" collapsed="false">
      <c r="A11" s="2" t="s">
        <v>108</v>
      </c>
      <c r="B11" s="11" t="n">
        <v>2.99</v>
      </c>
    </row>
    <row r="12" customFormat="false" ht="15" hidden="false" customHeight="false" outlineLevel="0" collapsed="false">
      <c r="A12" s="2" t="s">
        <v>109</v>
      </c>
      <c r="B12" s="11" t="n">
        <v>2.99</v>
      </c>
    </row>
    <row r="13" customFormat="false" ht="15" hidden="false" customHeight="false" outlineLevel="0" collapsed="false">
      <c r="A13" s="2" t="s">
        <v>110</v>
      </c>
      <c r="B13" s="11" t="n">
        <v>2.99</v>
      </c>
    </row>
    <row r="14" customFormat="false" ht="15" hidden="false" customHeight="false" outlineLevel="0" collapsed="false">
      <c r="A14" s="2" t="s">
        <v>111</v>
      </c>
      <c r="B14" s="11" t="n">
        <v>2.99</v>
      </c>
    </row>
    <row r="15" customFormat="false" ht="15" hidden="false" customHeight="false" outlineLevel="0" collapsed="false">
      <c r="A15" s="2" t="s">
        <v>112</v>
      </c>
      <c r="B15" s="11" t="n">
        <v>2.99</v>
      </c>
    </row>
    <row r="16" customFormat="false" ht="15" hidden="false" customHeight="false" outlineLevel="0" collapsed="false">
      <c r="A16" s="2" t="s">
        <v>113</v>
      </c>
      <c r="B16" s="11" t="n">
        <v>2.99</v>
      </c>
    </row>
    <row r="17" customFormat="false" ht="15" hidden="false" customHeight="false" outlineLevel="0" collapsed="false">
      <c r="A17" s="2" t="s">
        <v>114</v>
      </c>
      <c r="B17" s="11" t="n">
        <v>2.99</v>
      </c>
    </row>
    <row r="18" customFormat="false" ht="15" hidden="false" customHeight="false" outlineLevel="0" collapsed="false">
      <c r="A18" s="2" t="s">
        <v>115</v>
      </c>
      <c r="B18" s="11" t="n">
        <v>2.99</v>
      </c>
    </row>
    <row r="19" customFormat="false" ht="15" hidden="false" customHeight="false" outlineLevel="0" collapsed="false">
      <c r="A19" s="2" t="s">
        <v>116</v>
      </c>
      <c r="B19" s="11" t="n">
        <v>2.99</v>
      </c>
    </row>
    <row r="20" customFormat="false" ht="15" hidden="false" customHeight="false" outlineLevel="0" collapsed="false">
      <c r="A20" s="2" t="s">
        <v>117</v>
      </c>
      <c r="B20" s="11" t="n">
        <v>2.99</v>
      </c>
    </row>
    <row r="21" customFormat="false" ht="15" hidden="false" customHeight="false" outlineLevel="0" collapsed="false">
      <c r="A21" s="2" t="s">
        <v>118</v>
      </c>
      <c r="B21" s="11" t="n">
        <v>2.99</v>
      </c>
    </row>
    <row r="22" customFormat="false" ht="15" hidden="false" customHeight="false" outlineLevel="0" collapsed="false">
      <c r="A22" s="2" t="s">
        <v>119</v>
      </c>
      <c r="B22" s="11" t="n">
        <v>2.98</v>
      </c>
    </row>
    <row r="23" customFormat="false" ht="15" hidden="false" customHeight="false" outlineLevel="0" collapsed="false">
      <c r="A23" s="2" t="s">
        <v>120</v>
      </c>
      <c r="B23" s="11" t="n">
        <v>2.99</v>
      </c>
    </row>
    <row r="24" customFormat="false" ht="15" hidden="false" customHeight="false" outlineLevel="0" collapsed="false">
      <c r="A24" s="2" t="s">
        <v>121</v>
      </c>
      <c r="B24" s="11" t="n">
        <v>2.96</v>
      </c>
    </row>
    <row r="25" customFormat="false" ht="15" hidden="false" customHeight="false" outlineLevel="0" collapsed="false">
      <c r="A25" s="2" t="s">
        <v>122</v>
      </c>
      <c r="B25" s="11" t="n">
        <v>2.961</v>
      </c>
    </row>
    <row r="26" customFormat="false" ht="15" hidden="false" customHeight="false" outlineLevel="0" collapsed="false">
      <c r="A26" s="2" t="s">
        <v>123</v>
      </c>
      <c r="B26" s="11" t="n">
        <v>2.931</v>
      </c>
    </row>
    <row r="27" customFormat="false" ht="15" hidden="false" customHeight="false" outlineLevel="0" collapsed="false">
      <c r="A27" s="2" t="s">
        <v>124</v>
      </c>
      <c r="B27" s="11" t="n">
        <v>2.92</v>
      </c>
    </row>
    <row r="28" customFormat="false" ht="15" hidden="false" customHeight="false" outlineLevel="0" collapsed="false">
      <c r="A28" s="2" t="s">
        <v>125</v>
      </c>
      <c r="B28" s="11" t="n">
        <v>2.935</v>
      </c>
    </row>
    <row r="29" customFormat="false" ht="15" hidden="false" customHeight="false" outlineLevel="0" collapsed="false">
      <c r="A29" s="2" t="s">
        <v>126</v>
      </c>
      <c r="B29" s="11" t="n">
        <v>2.925</v>
      </c>
    </row>
    <row r="30" customFormat="false" ht="15" hidden="false" customHeight="false" outlineLevel="0" collapsed="false">
      <c r="A30" s="2" t="s">
        <v>127</v>
      </c>
      <c r="B30" s="11" t="n">
        <v>2.926</v>
      </c>
    </row>
    <row r="31" customFormat="false" ht="15" hidden="false" customHeight="false" outlineLevel="0" collapsed="false">
      <c r="A31" s="2" t="s">
        <v>128</v>
      </c>
      <c r="B31" s="11" t="n">
        <v>2.99</v>
      </c>
    </row>
    <row r="32" customFormat="false" ht="15" hidden="false" customHeight="false" outlineLevel="0" collapsed="false">
      <c r="A32" s="2" t="s">
        <v>129</v>
      </c>
      <c r="B32" s="11" t="n">
        <v>2.99</v>
      </c>
    </row>
    <row r="33" customFormat="false" ht="15" hidden="false" customHeight="false" outlineLevel="0" collapsed="false">
      <c r="A33" s="2" t="s">
        <v>130</v>
      </c>
      <c r="B33" s="11" t="n">
        <v>2.95</v>
      </c>
    </row>
    <row r="34" customFormat="false" ht="15" hidden="false" customHeight="false" outlineLevel="0" collapsed="false">
      <c r="A34" s="2" t="s">
        <v>131</v>
      </c>
      <c r="B34" s="11" t="n">
        <v>2.99</v>
      </c>
    </row>
    <row r="35" customFormat="false" ht="15" hidden="false" customHeight="false" outlineLevel="0" collapsed="false">
      <c r="A35" s="2" t="s">
        <v>132</v>
      </c>
      <c r="B35" s="11" t="n">
        <v>2.99</v>
      </c>
    </row>
    <row r="36" customFormat="false" ht="15" hidden="false" customHeight="false" outlineLevel="0" collapsed="false">
      <c r="A36" s="2" t="s">
        <v>133</v>
      </c>
      <c r="B36" s="11" t="n">
        <v>2.99</v>
      </c>
    </row>
    <row r="37" customFormat="false" ht="15" hidden="false" customHeight="false" outlineLevel="0" collapsed="false">
      <c r="A37" s="2" t="s">
        <v>134</v>
      </c>
      <c r="B37" s="11" t="n">
        <v>2.97</v>
      </c>
    </row>
    <row r="38" customFormat="false" ht="15" hidden="false" customHeight="false" outlineLevel="0" collapsed="false">
      <c r="A38" s="2" t="s">
        <v>135</v>
      </c>
      <c r="B38" s="11" t="n">
        <v>3</v>
      </c>
    </row>
    <row r="39" customFormat="false" ht="15" hidden="false" customHeight="false" outlineLevel="0" collapsed="false">
      <c r="A39" s="2" t="s">
        <v>136</v>
      </c>
      <c r="B39" s="11" t="n">
        <v>2.995</v>
      </c>
    </row>
    <row r="40" customFormat="false" ht="15" hidden="false" customHeight="false" outlineLevel="0" collapsed="false">
      <c r="A40" s="2" t="s">
        <v>137</v>
      </c>
      <c r="B40" s="11" t="n">
        <v>2.99</v>
      </c>
    </row>
    <row r="41" customFormat="false" ht="15" hidden="false" customHeight="false" outlineLevel="0" collapsed="false">
      <c r="A41" s="2" t="s">
        <v>138</v>
      </c>
      <c r="B41" s="11" t="n">
        <v>2.995</v>
      </c>
    </row>
    <row r="42" customFormat="false" ht="15" hidden="false" customHeight="false" outlineLevel="0" collapsed="false">
      <c r="A42" s="2" t="s">
        <v>139</v>
      </c>
      <c r="B42" s="11" t="n">
        <v>3.071</v>
      </c>
    </row>
    <row r="43" customFormat="false" ht="15" hidden="false" customHeight="false" outlineLevel="0" collapsed="false">
      <c r="A43" s="2" t="s">
        <v>140</v>
      </c>
      <c r="B43" s="11" t="n">
        <v>3.317</v>
      </c>
    </row>
    <row r="44" customFormat="false" ht="15" hidden="false" customHeight="false" outlineLevel="0" collapsed="false">
      <c r="A44" s="2" t="s">
        <v>141</v>
      </c>
      <c r="B44" s="11" t="n">
        <v>3.076</v>
      </c>
    </row>
    <row r="45" customFormat="false" ht="15" hidden="false" customHeight="false" outlineLevel="0" collapsed="false">
      <c r="A45" s="2" t="s">
        <v>142</v>
      </c>
      <c r="B45" s="11" t="n">
        <v>3.196</v>
      </c>
    </row>
    <row r="46" customFormat="false" ht="15" hidden="false" customHeight="false" outlineLevel="0" collapsed="false">
      <c r="A46" s="2" t="s">
        <v>143</v>
      </c>
      <c r="B46" s="11" t="n">
        <v>3.355</v>
      </c>
    </row>
    <row r="47" customFormat="false" ht="15" hidden="false" customHeight="false" outlineLevel="0" collapsed="false">
      <c r="A47" s="2" t="s">
        <v>144</v>
      </c>
      <c r="B47" s="11" t="n">
        <v>3.38</v>
      </c>
    </row>
    <row r="48" customFormat="false" ht="15" hidden="false" customHeight="false" outlineLevel="0" collapsed="false">
      <c r="A48" s="2" t="s">
        <v>145</v>
      </c>
      <c r="B48" s="11" t="n">
        <v>3.37</v>
      </c>
    </row>
    <row r="49" customFormat="false" ht="15" hidden="false" customHeight="false" outlineLevel="0" collapsed="false">
      <c r="A49" s="2" t="s">
        <v>146</v>
      </c>
      <c r="B49" s="11" t="n">
        <v>3.382</v>
      </c>
    </row>
    <row r="50" customFormat="false" ht="15" hidden="false" customHeight="false" outlineLevel="0" collapsed="false">
      <c r="A50" s="2" t="s">
        <v>147</v>
      </c>
      <c r="B50" s="11" t="n">
        <v>3.37</v>
      </c>
    </row>
    <row r="51" customFormat="false" ht="15" hidden="false" customHeight="false" outlineLevel="0" collapsed="false">
      <c r="A51" s="2" t="s">
        <v>148</v>
      </c>
      <c r="B51" s="11" t="n">
        <v>3.32</v>
      </c>
    </row>
    <row r="52" customFormat="false" ht="15" hidden="false" customHeight="false" outlineLevel="0" collapsed="false">
      <c r="A52" s="2" t="s">
        <v>149</v>
      </c>
      <c r="B52" s="11" t="n">
        <v>3.34</v>
      </c>
    </row>
    <row r="53" customFormat="false" ht="15" hidden="false" customHeight="false" outlineLevel="0" collapsed="false">
      <c r="A53" s="2" t="s">
        <v>150</v>
      </c>
      <c r="B53" s="11" t="n">
        <v>3.34</v>
      </c>
    </row>
    <row r="54" customFormat="false" ht="15" hidden="false" customHeight="false" outlineLevel="0" collapsed="false">
      <c r="A54" s="2" t="s">
        <v>151</v>
      </c>
      <c r="B54" s="11" t="n">
        <v>3.379</v>
      </c>
    </row>
    <row r="55" customFormat="false" ht="15" hidden="false" customHeight="false" outlineLevel="0" collapsed="false">
      <c r="A55" s="2" t="s">
        <v>152</v>
      </c>
      <c r="B55" s="11" t="n">
        <v>3.382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</row>
    <row r="4" customFormat="false" ht="15" hidden="false" customHeight="false" outlineLevel="0" collapsed="false">
      <c r="A4" s="2" t="s">
        <v>156</v>
      </c>
      <c r="B4" s="2" t="s">
        <v>157</v>
      </c>
    </row>
    <row r="5" customFormat="false" ht="15" hidden="false" customHeight="false" outlineLevel="0" collapsed="false">
      <c r="A5" s="2" t="s">
        <v>158</v>
      </c>
      <c r="B5" s="2" t="s">
        <v>159</v>
      </c>
    </row>
    <row r="6" customFormat="false" ht="15" hidden="false" customHeight="false" outlineLevel="0" collapsed="false">
      <c r="A6" s="2" t="s">
        <v>160</v>
      </c>
      <c r="B6" s="2" t="s">
        <v>161</v>
      </c>
    </row>
    <row r="7" customFormat="false" ht="15" hidden="false" customHeight="false" outlineLevel="0" collapsed="false">
      <c r="A7" s="2" t="s">
        <v>162</v>
      </c>
      <c r="B7" s="2" t="s">
        <v>163</v>
      </c>
    </row>
    <row r="10" customFormat="false" ht="15" hidden="false" customHeight="false" outlineLevel="0" collapsed="false">
      <c r="A10" s="2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2026-10-08T15:31:07Z</dcterms:created>
  <dc:creator>openpyxl</dc:creator>
  <dc:description/>
  <dc:language>en-US</dc:language>
  <cp:lastModifiedBy/>
  <dcterms:modified xsi:type="dcterms:W3CDTF">2026-10-08T15:31:07Z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