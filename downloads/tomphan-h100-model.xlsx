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Model" sheetId="2" state="visible" r:id="rId4"/>
    <sheet name="CoreWeave" sheetId="3" state="visible" r:id="rId5"/>
    <sheet name="Sour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<sst xmlns="http://schemas.openxmlformats.org/spreadsheetml/2006/main" count="107" uniqueCount="99">
  <si>
    <t xml:space="preserve">tomphan. — H100 rental unit economics (per GPU)</t>
  </si>
  <si>
    <t xml:space="preserve">Blue = input you can change. Yellow = scenario selector. Black = formula. All money in USD per GPU unless noted.</t>
  </si>
  <si>
    <t xml:space="preserve">Active scenario</t>
  </si>
  <si>
    <t xml:space="preserve">Base</t>
  </si>
  <si>
    <t xml:space="preserve">Assumption</t>
  </si>
  <si>
    <t xml:space="preserve">Active</t>
  </si>
  <si>
    <t xml:space="preserve">Bull</t>
  </si>
  <si>
    <t xml:space="preserve">Bear</t>
  </si>
  <si>
    <t xml:space="preserve">Unit</t>
  </si>
  <si>
    <t xml:space="preserve">Source / note</t>
  </si>
  <si>
    <t xml:space="preserve">Capex per GPU (all-in)</t>
  </si>
  <si>
    <t xml:space="preserve">USD</t>
  </si>
  <si>
    <t xml:space="preserve">Assumption: GPU + share of server, network, storage. Illustrative H100 unit ~$30k (electroneconomics.substack.com)</t>
  </si>
  <si>
    <t xml:space="preserve">Rental price, year 1</t>
  </si>
  <si>
    <t xml:space="preserve">USD/GPU-hr</t>
  </si>
  <si>
    <t xml:space="preserve">Base = SemiAnalysis H100 1-yr contract index, Mar 2026 ($2.35). On-demand median $3.47 (GetDeploying, Oct 5 2026)</t>
  </si>
  <si>
    <t xml:space="preserve">Annual price decline</t>
  </si>
  <si>
    <t xml:space="preserve">% per yr</t>
  </si>
  <si>
    <t xml:space="preserve">Assumption: newer GPU generations push older rental rates down</t>
  </si>
  <si>
    <t xml:space="preserve">Utilization (billed hours)</t>
  </si>
  <si>
    <t xml:space="preserve">% of hours</t>
  </si>
  <si>
    <t xml:space="preserve">Power per GPU incl. overhead</t>
  </si>
  <si>
    <t xml:space="preserve">kW</t>
  </si>
  <si>
    <t xml:space="preserve">Assumption: 700W GPU + server share, PUE ~1.3</t>
  </si>
  <si>
    <t xml:space="preserve">Electricity price</t>
  </si>
  <si>
    <t xml:space="preserve">USD/kWh</t>
  </si>
  <si>
    <t xml:space="preserve">EIA Monthly Energy Review Table 9.8: US industrial 8.71¢/kWh, May 2026</t>
  </si>
  <si>
    <t xml:space="preserve">Other opex</t>
  </si>
  <si>
    <t xml:space="preserve">USD/GPU-hr available</t>
  </si>
  <si>
    <t xml:space="preserve">Assumption: colocation, network, staff, maintenance</t>
  </si>
  <si>
    <t xml:space="preserve">Economic life</t>
  </si>
  <si>
    <t xml:space="preserve">years</t>
  </si>
  <si>
    <t xml:space="preserve">CoreWeave books 6 years (10-K FY2025); critics argue 2–3</t>
  </si>
  <si>
    <t xml:space="preserve">Residual value</t>
  </si>
  <si>
    <t xml:space="preserve">% of capex</t>
  </si>
  <si>
    <t xml:space="preserve">Discount rate (WACC)</t>
  </si>
  <si>
    <t xml:space="preserve">%</t>
  </si>
  <si>
    <t xml:space="preserve">Tax rate</t>
  </si>
  <si>
    <t xml:space="preserve">US federal corporate rate; losses assumed usable by the wider company</t>
  </si>
  <si>
    <t xml:space="preserve">Hours per year</t>
  </si>
  <si>
    <t xml:space="preserve">hours</t>
  </si>
  <si>
    <t xml:space="preserve">Cash flows per GPU (USD)</t>
  </si>
  <si>
    <t xml:space="preserve">Columns past the economic life show zero. Year 0 = purchase.</t>
  </si>
  <si>
    <t xml:space="preserve">Year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</si>
  <si>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</si>
  <si>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</si>
  <si>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</si>
  <si>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</si>
  <si>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</si>
  <si>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</si>
  <si>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</si>
  <si>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</si>
  <si>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</si>
  <si>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Active (1 = in life)</t>
  </si>
  <si>
    <t xml:space="preserve">Rental price ($/hr)</t>
  </si>
  <si>
    <t xml:space="preserve">Revenue</t>
  </si>
  <si>
    <t xml:space="preserve">Power cost</t>
  </si>
  <si>
    <t xml:space="preserve">EBITDA</t>
  </si>
  <si>
    <t xml:space="preserve">Depreciation</t>
  </si>
  <si>
    <t xml:space="preserve">EBIT</t>
  </si>
  <si>
    <t xml:space="preserve">Tax (negative = shield)</t>
  </si>
  <si>
    <t xml:space="preserve">Free cash flow</t>
  </si>
  <si>
    <t xml:space="preserve">Cumulative FCF</t>
  </si>
  <si>
    <t xml:space="preserve">Results</t>
  </si>
  <si>
    <t xml:space="preserve">NPV per GPU</t>
  </si>
  <si>
    <t xml:space="preserve">NPV per 1,000-GPU cluster</t>
  </si>
  <si>
    <t xml:space="preserve">IRR</t>
  </si>
  <si>
    <t xml:space="preserve">Payback (years)</t>
  </si>
  <si>
    <t xml:space="preserve">Year-1 EBITDA margin</t>
  </si>
  <si>
    <t xml:space="preserve">Year-1 depreciation / revenue</t>
  </si>
  <si>
    <t xml:space="preserve">Year-1 EBIT margin, economic life</t>
  </si>
  <si>
    <t xml:space="preserve">Year-1 EBIT margin, 6-yr accounting life</t>
  </si>
  <si>
    <t xml:space="preserve">Gap = profit that appears from using a 6-year life instead of the economic life</t>
  </si>
  <si>
    <t xml:space="preserve">CoreWeave benchmarks (USD millions)</t>
  </si>
  <si>
    <t xml:space="preserve">Source: CoreWeave 10-K FY2025 and 10-Q Q2 2026, via SEC EDGAR XBRL API (data.sec.gov). H1 2026 = Jan–Jun 2026.</t>
  </si>
  <si>
    <t xml:space="preserve">Metric</t>
  </si>
  <si>
    <t xml:space="preserve">FY2023</t>
  </si>
  <si>
    <t xml:space="preserve">FY2024</t>
  </si>
  <si>
    <t xml:space="preserve">FY2025</t>
  </si>
  <si>
    <t xml:space="preserve">H1 2026</t>
  </si>
  <si>
    <t xml:space="preserve">Depreciation &amp; amortization</t>
  </si>
  <si>
    <t xml:space="preserve">Operating income</t>
  </si>
  <si>
    <t xml:space="preserve">Capex (purchases of PP&amp;E)</t>
  </si>
  <si>
    <t xml:space="preserve">D&amp;A / revenue</t>
  </si>
  <si>
    <t xml:space="preserve">Operating margin</t>
  </si>
  <si>
    <t xml:space="preserve">Capex / revenue (x)</t>
  </si>
  <si>
    <t xml:space="preserve">Compare: the model's year-1 depreciation / revenue</t>
  </si>
  <si>
    <t xml:space="preserve">Sources</t>
  </si>
  <si>
    <t xml:space="preserve">CoreWeave Form 10-K FY2025</t>
  </si>
  <si>
    <t xml:space="preserve">https://www.sec.gov/Archives/edgar/data/1769628/000176962826000104/crwv-20251231.htm</t>
  </si>
  <si>
    <t xml:space="preserve">SEC XBRL API, CoreWeave revenue</t>
  </si>
  <si>
    <t xml:space="preserve">https://data.sec.gov/api/xbrl/companyconcept/CIK0001769628/us-gaap/RevenueFromContractWithCustomerExcludingAssessedTax.json</t>
  </si>
  <si>
    <t xml:space="preserve">GetDeploying GPU price trends (open dataset)</t>
  </si>
  <si>
    <t xml:space="preserve">https://getdeploying.com/gpu-price-trends</t>
  </si>
  <si>
    <t xml:space="preserve">SemiAnalysis H100 1-yr rental index</t>
  </si>
  <si>
    <t xml:space="preserve">https://newsletter.semianalysis.com/p/the-great-gpu-shortage-rental-capacity</t>
  </si>
  <si>
    <t xml:space="preserve">EIA Monthly Energy Review, electricity prices</t>
  </si>
  <si>
    <t xml:space="preserve">https://www.eia.gov/TOTALENERGY/data/monthly/pdf/sec9_10.pdf</t>
  </si>
  <si>
    <t xml:space="preserve">Independent analysis on public data by Phan Nguyen Hong Quang (tomphan.). Not investment advice.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</si>
</sst>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.00;&quot;($&quot;#,##0.00\);\-"/>
    <numFmt numFmtId="167" formatCode="0.0%;\(0.0%\);\-"/>
    <numFmt numFmtId="168" formatCode="0.00"/>
    <numFmt numFmtId="169" formatCode="\$0.000"/>
    <numFmt numFmtId="170" formatCode="0"/>
    <numFmt numFmtId="171" formatCode="#,##0"/>
    <numFmt numFmtId="172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3E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  <col collapsed="false" customWidth="true" hidden="false" outlineLevel="0" max="7" min="7" style="0" width="9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2" t="n">
        <f aca="false">MATCH(B4,{"Bull","Base","Bear"},0)</f>
        <v>2</v>
      </c>
    </row>
    <row r="6" customFormat="false" ht="15" hidden="false" customHeight="false" outlineLevel="0" collapsed="false">
      <c r="A6" s="5" t="s">
        <v>4</v>
      </c>
      <c r="B6" s="5" t="s">
        <v>5</v>
      </c>
      <c r="C6" s="5" t="s">
        <v>6</v>
      </c>
      <c r="D6" s="5" t="s">
        <v>3</v>
      </c>
      <c r="E6" s="5" t="s">
        <v>7</v>
      </c>
      <c r="F6" s="5" t="s">
        <v>8</v>
      </c>
      <c r="G6" s="5" t="s">
        <v>9</v>
      </c>
    </row>
    <row r="7" customFormat="false" ht="15" hidden="false" customHeight="false" outlineLevel="0" collapsed="false">
      <c r="A7" s="2" t="s">
        <v>10</v>
      </c>
      <c r="B7" s="6" t="n">
        <f aca="false">INDEX(C7:E7,$C$4)</f>
        <v>35000</v>
      </c>
      <c r="C7" s="7" t="n">
        <v>35000</v>
      </c>
      <c r="D7" s="7" t="n">
        <v>35000</v>
      </c>
      <c r="E7" s="7" t="n">
        <v>35000</v>
      </c>
      <c r="F7" s="2" t="s">
        <v>11</v>
      </c>
      <c r="G7" s="2" t="s">
        <v>12</v>
      </c>
    </row>
    <row r="8" customFormat="false" ht="15" hidden="false" customHeight="false" outlineLevel="0" collapsed="false">
      <c r="A8" s="2" t="s">
        <v>13</v>
      </c>
      <c r="B8" s="8" t="n">
        <f aca="false">INDEX(C8:E8,$C$4)</f>
        <v>2.35</v>
      </c>
      <c r="C8" s="9" t="n">
        <v>2.8</v>
      </c>
      <c r="D8" s="9" t="n">
        <v>2.35</v>
      </c>
      <c r="E8" s="9" t="n">
        <v>2</v>
      </c>
      <c r="F8" s="2" t="s">
        <v>14</v>
      </c>
      <c r="G8" s="2" t="s">
        <v>15</v>
      </c>
    </row>
    <row r="9" customFormat="false" ht="15" hidden="false" customHeight="false" outlineLevel="0" collapsed="false">
      <c r="A9" s="2" t="s">
        <v>16</v>
      </c>
      <c r="B9" s="10" t="n">
        <f aca="false">INDEX(C9:E9,$C$4)</f>
        <v>0.15</v>
      </c>
      <c r="C9" s="11" t="n">
        <v>0.1</v>
      </c>
      <c r="D9" s="11" t="n">
        <v>0.15</v>
      </c>
      <c r="E9" s="11" t="n">
        <v>0.25</v>
      </c>
      <c r="F9" s="2" t="s">
        <v>17</v>
      </c>
      <c r="G9" s="2" t="s">
        <v>18</v>
      </c>
    </row>
    <row r="10" customFormat="false" ht="15" hidden="false" customHeight="false" outlineLevel="0" collapsed="false">
      <c r="A10" s="2" t="s">
        <v>19</v>
      </c>
      <c r="B10" s="10" t="n">
        <f aca="false">INDEX(C10:E10,$C$4)</f>
        <v>0.85</v>
      </c>
      <c r="C10" s="11" t="n">
        <v>0.9</v>
      </c>
      <c r="D10" s="11" t="n">
        <v>0.85</v>
      </c>
      <c r="E10" s="11" t="n">
        <v>0.7</v>
      </c>
      <c r="F10" s="2" t="s">
        <v>20</v>
      </c>
      <c r="G10" s="2" t="s">
        <v>4</v>
      </c>
    </row>
    <row r="11" customFormat="false" ht="15" hidden="false" customHeight="false" outlineLevel="0" collapsed="false">
      <c r="A11" s="2" t="s">
        <v>21</v>
      </c>
      <c r="B11" s="12" t="n">
        <f aca="false">INDEX(C11:E11,$C$4)</f>
        <v>1.4</v>
      </c>
      <c r="C11" s="13" t="n">
        <v>1.4</v>
      </c>
      <c r="D11" s="13" t="n">
        <v>1.4</v>
      </c>
      <c r="E11" s="13" t="n">
        <v>1.4</v>
      </c>
      <c r="F11" s="2" t="s">
        <v>22</v>
      </c>
      <c r="G11" s="2" t="s">
        <v>23</v>
      </c>
    </row>
    <row r="12" customFormat="false" ht="15" hidden="false" customHeight="false" outlineLevel="0" collapsed="false">
      <c r="A12" s="2" t="s">
        <v>24</v>
      </c>
      <c r="B12" s="14" t="n">
        <f aca="false">INDEX(C12:E12,$C$4)</f>
        <v>0.087</v>
      </c>
      <c r="C12" s="15" t="n">
        <v>0.087</v>
      </c>
      <c r="D12" s="15" t="n">
        <v>0.087</v>
      </c>
      <c r="E12" s="15" t="n">
        <v>0.087</v>
      </c>
      <c r="F12" s="2" t="s">
        <v>25</v>
      </c>
      <c r="G12" s="2" t="s">
        <v>26</v>
      </c>
    </row>
    <row r="13" customFormat="false" ht="15" hidden="false" customHeight="false" outlineLevel="0" collapsed="false">
      <c r="A13" s="2" t="s">
        <v>27</v>
      </c>
      <c r="B13" s="8" t="n">
        <f aca="false">INDEX(C13:E13,$C$4)</f>
        <v>0.3</v>
      </c>
      <c r="C13" s="9" t="n">
        <v>0.3</v>
      </c>
      <c r="D13" s="9" t="n">
        <v>0.3</v>
      </c>
      <c r="E13" s="9" t="n">
        <v>0.3</v>
      </c>
      <c r="F13" s="2" t="s">
        <v>28</v>
      </c>
      <c r="G13" s="2" t="s">
        <v>29</v>
      </c>
    </row>
    <row r="14" customFormat="false" ht="15" hidden="false" customHeight="false" outlineLevel="0" collapsed="false">
      <c r="A14" s="2" t="s">
        <v>30</v>
      </c>
      <c r="B14" s="16" t="n">
        <f aca="false">INDEX(C14:E14,$C$4)</f>
        <v>5</v>
      </c>
      <c r="C14" s="17" t="n">
        <v>6</v>
      </c>
      <c r="D14" s="17" t="n">
        <v>5</v>
      </c>
      <c r="E14" s="17" t="n">
        <v>3</v>
      </c>
      <c r="F14" s="2" t="s">
        <v>31</v>
      </c>
      <c r="G14" s="2" t="s">
        <v>32</v>
      </c>
    </row>
    <row r="15" customFormat="false" ht="15" hidden="false" customHeight="false" outlineLevel="0" collapsed="false">
      <c r="A15" s="2" t="s">
        <v>33</v>
      </c>
      <c r="B15" s="10" t="n">
        <f aca="false">INDEX(C15:E15,$C$4)</f>
        <v>0.05</v>
      </c>
      <c r="C15" s="11" t="n">
        <v>0.05</v>
      </c>
      <c r="D15" s="11" t="n">
        <v>0.05</v>
      </c>
      <c r="E15" s="11" t="n">
        <v>0.05</v>
      </c>
      <c r="F15" s="2" t="s">
        <v>34</v>
      </c>
      <c r="G15" s="2" t="s">
        <v>4</v>
      </c>
    </row>
    <row r="16" customFormat="false" ht="15" hidden="false" customHeight="false" outlineLevel="0" collapsed="false">
      <c r="A16" s="2" t="s">
        <v>35</v>
      </c>
      <c r="B16" s="10" t="n">
        <f aca="false">INDEX(C16:E16,$C$4)</f>
        <v>0.11</v>
      </c>
      <c r="C16" s="11" t="n">
        <v>0.11</v>
      </c>
      <c r="D16" s="11" t="n">
        <v>0.11</v>
      </c>
      <c r="E16" s="11" t="n">
        <v>0.11</v>
      </c>
      <c r="F16" s="2" t="s">
        <v>36</v>
      </c>
      <c r="G16" s="2" t="s">
        <v>4</v>
      </c>
    </row>
    <row r="17" customFormat="false" ht="15" hidden="false" customHeight="false" outlineLevel="0" collapsed="false">
      <c r="A17" s="2" t="s">
        <v>37</v>
      </c>
      <c r="B17" s="10" t="n">
        <f aca="false">INDEX(C17:E17,$C$4)</f>
        <v>0.21</v>
      </c>
      <c r="C17" s="11" t="n">
        <v>0.21</v>
      </c>
      <c r="D17" s="11" t="n">
        <v>0.21</v>
      </c>
      <c r="E17" s="11" t="n">
        <v>0.21</v>
      </c>
      <c r="F17" s="2" t="s">
        <v>36</v>
      </c>
      <c r="G17" s="2" t="s">
        <v>38</v>
      </c>
    </row>
    <row r="18" customFormat="false" ht="15" hidden="false" customHeight="false" outlineLevel="0" collapsed="false">
      <c r="A18" s="2" t="s">
        <v>39</v>
      </c>
      <c r="B18" s="18" t="n">
        <f aca="false">INDEX(C18:E18,$C$4)</f>
        <v>8760</v>
      </c>
      <c r="C18" s="19" t="n">
        <v>8760</v>
      </c>
      <c r="D18" s="19" t="n">
        <v>8760</v>
      </c>
      <c r="E18" s="19" t="n">
        <v>8760</v>
      </c>
      <c r="F18" s="2" t="s">
        <v>40</v>
      </c>
      <c r="G18" s="2"/>
    </row>
  </sheetData>
  <dataValidations count="1">
    <dataValidation allowBlank="false" errorStyle="stop" operator="between" showDropDown="false" showErrorMessage="false" showInputMessage="false" sqref="B4" type="list">
      <formula1>"Bull,Base,Bear"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0" min="2" style="0" width="12"/>
  </cols>
  <sheetData>
    <row r="1" customFormat="false" ht="1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48</v>
      </c>
      <c r="G4" s="5" t="s">
        <v>49</v>
      </c>
      <c r="H4" s="5" t="s">
        <v>50</v>
      </c>
      <c r="I4" s="5" t="s">
        <v>51</v>
      </c>
      <c r="J4" s="5" t="s">
        <v>52</v>
      </c>
    </row>
    <row r="5" customFormat="false" ht="15" hidden="false" customHeight="false" outlineLevel="0" collapsed="false">
      <c r="A5" s="20" t="s">
        <v>53</v>
      </c>
      <c r="C5" s="16" t="n">
        <f aca="false">IF(1&lt;=Inputs!$B$14,1,0)</f>
        <v>1</v>
      </c>
      <c r="D5" s="16" t="n">
        <f aca="false">IF(2&lt;=Inputs!$B$14,1,0)</f>
        <v>1</v>
      </c>
      <c r="E5" s="16" t="n">
        <f aca="false">IF(3&lt;=Inputs!$B$14,1,0)</f>
        <v>1</v>
      </c>
      <c r="F5" s="16" t="n">
        <f aca="false">IF(4&lt;=Inputs!$B$14,1,0)</f>
        <v>1</v>
      </c>
      <c r="G5" s="16" t="n">
        <f aca="false">IF(5&lt;=Inputs!$B$14,1,0)</f>
        <v>1</v>
      </c>
      <c r="H5" s="16" t="n">
        <f aca="false">IF(6&lt;=Inputs!$B$14,1,0)</f>
        <v>0</v>
      </c>
      <c r="I5" s="16" t="n">
        <f aca="false">IF(7&lt;=Inputs!$B$14,1,0)</f>
        <v>0</v>
      </c>
      <c r="J5" s="16" t="n">
        <f aca="false">IF(8&lt;=Inputs!$B$14,1,0)</f>
        <v>0</v>
      </c>
    </row>
    <row r="6" customFormat="false" ht="15" hidden="false" customHeight="false" outlineLevel="0" collapsed="false">
      <c r="A6" s="20" t="s">
        <v>54</v>
      </c>
      <c r="C6" s="8" t="n">
        <f aca="false">Inputs!$B$8*(1-Inputs!$B$9)^(1-1)*C5</f>
        <v>2.35</v>
      </c>
      <c r="D6" s="8" t="n">
        <f aca="false">Inputs!$B$8*(1-Inputs!$B$9)^(2-1)*D5</f>
        <v>1.9975</v>
      </c>
      <c r="E6" s="8" t="n">
        <f aca="false">Inputs!$B$8*(1-Inputs!$B$9)^(3-1)*E5</f>
        <v>1.697875</v>
      </c>
      <c r="F6" s="8" t="n">
        <f aca="false">Inputs!$B$8*(1-Inputs!$B$9)^(4-1)*F5</f>
        <v>1.44319375</v>
      </c>
      <c r="G6" s="8" t="n">
        <f aca="false">Inputs!$B$8*(1-Inputs!$B$9)^(5-1)*G5</f>
        <v>1.2267146875</v>
      </c>
      <c r="H6" s="8" t="n">
        <f aca="false">Inputs!$B$8*(1-Inputs!$B$9)^(6-1)*H5</f>
        <v>0</v>
      </c>
      <c r="I6" s="8" t="n">
        <f aca="false">Inputs!$B$8*(1-Inputs!$B$9)^(7-1)*I5</f>
        <v>0</v>
      </c>
      <c r="J6" s="8" t="n">
        <f aca="false">Inputs!$B$8*(1-Inputs!$B$9)^(8-1)*J5</f>
        <v>0</v>
      </c>
    </row>
    <row r="7" customFormat="false" ht="15" hidden="false" customHeight="false" outlineLevel="0" collapsed="false">
      <c r="A7" s="20" t="s">
        <v>55</v>
      </c>
      <c r="C7" s="6" t="n">
        <f aca="false">C6*Inputs!$B$18*Inputs!$B$10</f>
        <v>17498.1</v>
      </c>
      <c r="D7" s="6" t="n">
        <f aca="false">D6*Inputs!$B$18*Inputs!$B$10</f>
        <v>14873.385</v>
      </c>
      <c r="E7" s="6" t="n">
        <f aca="false">E6*Inputs!$B$18*Inputs!$B$10</f>
        <v>12642.37725</v>
      </c>
      <c r="F7" s="6" t="n">
        <f aca="false">F6*Inputs!$B$18*Inputs!$B$10</f>
        <v>10746.0206625</v>
      </c>
      <c r="G7" s="6" t="n">
        <f aca="false">G6*Inputs!$B$18*Inputs!$B$10</f>
        <v>9134.117563125</v>
      </c>
      <c r="H7" s="6" t="n">
        <f aca="false">H6*Inputs!$B$18*Inputs!$B$10</f>
        <v>0</v>
      </c>
      <c r="I7" s="6" t="n">
        <f aca="false">I6*Inputs!$B$18*Inputs!$B$10</f>
        <v>0</v>
      </c>
      <c r="J7" s="6" t="n">
        <f aca="false">J6*Inputs!$B$18*Inputs!$B$10</f>
        <v>0</v>
      </c>
    </row>
    <row r="8" customFormat="false" ht="15" hidden="false" customHeight="false" outlineLevel="0" collapsed="false">
      <c r="A8" s="20" t="s">
        <v>56</v>
      </c>
      <c r="C8" s="6" t="n">
        <f aca="false">-Inputs!$B$11*Inputs!$B$18*Inputs!$B$10*Inputs!$B$12*C5</f>
        <v>-906.9228</v>
      </c>
      <c r="D8" s="6" t="n">
        <f aca="false">-Inputs!$B$11*Inputs!$B$18*Inputs!$B$10*Inputs!$B$12*D5</f>
        <v>-906.9228</v>
      </c>
      <c r="E8" s="6" t="n">
        <f aca="false">-Inputs!$B$11*Inputs!$B$18*Inputs!$B$10*Inputs!$B$12*E5</f>
        <v>-906.9228</v>
      </c>
      <c r="F8" s="6" t="n">
        <f aca="false">-Inputs!$B$11*Inputs!$B$18*Inputs!$B$10*Inputs!$B$12*F5</f>
        <v>-906.9228</v>
      </c>
      <c r="G8" s="6" t="n">
        <f aca="false">-Inputs!$B$11*Inputs!$B$18*Inputs!$B$10*Inputs!$B$12*G5</f>
        <v>-906.9228</v>
      </c>
      <c r="H8" s="6" t="n">
        <f aca="false">-Inputs!$B$11*Inputs!$B$18*Inputs!$B$10*Inputs!$B$12*H5</f>
        <v>-0</v>
      </c>
      <c r="I8" s="6" t="n">
        <f aca="false">-Inputs!$B$11*Inputs!$B$18*Inputs!$B$10*Inputs!$B$12*I5</f>
        <v>-0</v>
      </c>
      <c r="J8" s="6" t="n">
        <f aca="false">-Inputs!$B$11*Inputs!$B$18*Inputs!$B$10*Inputs!$B$12*J5</f>
        <v>-0</v>
      </c>
    </row>
    <row r="9" customFormat="false" ht="15" hidden="false" customHeight="false" outlineLevel="0" collapsed="false">
      <c r="A9" s="20" t="s">
        <v>27</v>
      </c>
      <c r="C9" s="6" t="n">
        <f aca="false">-Inputs!$B$13*Inputs!$B$18*C5</f>
        <v>-2628</v>
      </c>
      <c r="D9" s="6" t="n">
        <f aca="false">-Inputs!$B$13*Inputs!$B$18*D5</f>
        <v>-2628</v>
      </c>
      <c r="E9" s="6" t="n">
        <f aca="false">-Inputs!$B$13*Inputs!$B$18*E5</f>
        <v>-2628</v>
      </c>
      <c r="F9" s="6" t="n">
        <f aca="false">-Inputs!$B$13*Inputs!$B$18*F5</f>
        <v>-2628</v>
      </c>
      <c r="G9" s="6" t="n">
        <f aca="false">-Inputs!$B$13*Inputs!$B$18*G5</f>
        <v>-2628</v>
      </c>
      <c r="H9" s="6" t="n">
        <f aca="false">-Inputs!$B$13*Inputs!$B$18*H5</f>
        <v>-0</v>
      </c>
      <c r="I9" s="6" t="n">
        <f aca="false">-Inputs!$B$13*Inputs!$B$18*I5</f>
        <v>-0</v>
      </c>
      <c r="J9" s="6" t="n">
        <f aca="false">-Inputs!$B$13*Inputs!$B$18*J5</f>
        <v>-0</v>
      </c>
    </row>
    <row r="10" customFormat="false" ht="15" hidden="false" customHeight="false" outlineLevel="0" collapsed="false">
      <c r="A10" s="3" t="s">
        <v>57</v>
      </c>
      <c r="C10" s="6" t="n">
        <f aca="false">C7+C8+C9</f>
        <v>13963.1772</v>
      </c>
      <c r="D10" s="6" t="n">
        <f aca="false">D7+D8+D9</f>
        <v>11338.4622</v>
      </c>
      <c r="E10" s="6" t="n">
        <f aca="false">E7+E8+E9</f>
        <v>9107.45445</v>
      </c>
      <c r="F10" s="6" t="n">
        <f aca="false">F7+F8+F9</f>
        <v>7211.0978625</v>
      </c>
      <c r="G10" s="6" t="n">
        <f aca="false">G7+G8+G9</f>
        <v>5599.194763125</v>
      </c>
      <c r="H10" s="6" t="n">
        <f aca="false">H7+H8+H9</f>
        <v>0</v>
      </c>
      <c r="I10" s="6" t="n">
        <f aca="false">I7+I8+I9</f>
        <v>0</v>
      </c>
      <c r="J10" s="6" t="n">
        <f aca="false">J7+J8+J9</f>
        <v>0</v>
      </c>
    </row>
    <row r="11" customFormat="false" ht="15" hidden="false" customHeight="false" outlineLevel="0" collapsed="false">
      <c r="A11" s="20" t="s">
        <v>58</v>
      </c>
      <c r="C11" s="6" t="n">
        <f aca="false">-Inputs!$B$7/Inputs!$B$14*C5</f>
        <v>-7000</v>
      </c>
      <c r="D11" s="6" t="n">
        <f aca="false">-Inputs!$B$7/Inputs!$B$14*D5</f>
        <v>-7000</v>
      </c>
      <c r="E11" s="6" t="n">
        <f aca="false">-Inputs!$B$7/Inputs!$B$14*E5</f>
        <v>-7000</v>
      </c>
      <c r="F11" s="6" t="n">
        <f aca="false">-Inputs!$B$7/Inputs!$B$14*F5</f>
        <v>-7000</v>
      </c>
      <c r="G11" s="6" t="n">
        <f aca="false">-Inputs!$B$7/Inputs!$B$14*G5</f>
        <v>-7000</v>
      </c>
      <c r="H11" s="6" t="n">
        <f aca="false">-Inputs!$B$7/Inputs!$B$14*H5</f>
        <v>-0</v>
      </c>
      <c r="I11" s="6" t="n">
        <f aca="false">-Inputs!$B$7/Inputs!$B$14*I5</f>
        <v>-0</v>
      </c>
      <c r="J11" s="6" t="n">
        <f aca="false">-Inputs!$B$7/Inputs!$B$14*J5</f>
        <v>-0</v>
      </c>
    </row>
    <row r="12" customFormat="false" ht="15" hidden="false" customHeight="false" outlineLevel="0" collapsed="false">
      <c r="A12" s="20" t="s">
        <v>59</v>
      </c>
      <c r="C12" s="6" t="n">
        <f aca="false">C10+C11</f>
        <v>6963.1772</v>
      </c>
      <c r="D12" s="6" t="n">
        <f aca="false">D10+D11</f>
        <v>4338.4622</v>
      </c>
      <c r="E12" s="6" t="n">
        <f aca="false">E10+E11</f>
        <v>2107.45445</v>
      </c>
      <c r="F12" s="6" t="n">
        <f aca="false">F10+F11</f>
        <v>211.097862499997</v>
      </c>
      <c r="G12" s="6" t="n">
        <f aca="false">G10+G11</f>
        <v>-1400.805236875</v>
      </c>
      <c r="H12" s="6" t="n">
        <f aca="false">H10+H11</f>
        <v>0</v>
      </c>
      <c r="I12" s="6" t="n">
        <f aca="false">I10+I11</f>
        <v>0</v>
      </c>
      <c r="J12" s="6" t="n">
        <f aca="false">J10+J11</f>
        <v>0</v>
      </c>
    </row>
    <row r="13" customFormat="false" ht="15" hidden="false" customHeight="false" outlineLevel="0" collapsed="false">
      <c r="A13" s="20" t="s">
        <v>60</v>
      </c>
      <c r="C13" s="6" t="n">
        <f aca="false">-C12*Inputs!$B$17</f>
        <v>-1462.267212</v>
      </c>
      <c r="D13" s="6" t="n">
        <f aca="false">-D12*Inputs!$B$17</f>
        <v>-911.077062</v>
      </c>
      <c r="E13" s="6" t="n">
        <f aca="false">-E12*Inputs!$B$17</f>
        <v>-442.565434499999</v>
      </c>
      <c r="F13" s="6" t="n">
        <f aca="false">-F12*Inputs!$B$17</f>
        <v>-44.3305511249994</v>
      </c>
      <c r="G13" s="6" t="n">
        <f aca="false">-G12*Inputs!$B$17</f>
        <v>294.16909974375</v>
      </c>
      <c r="H13" s="6" t="n">
        <f aca="false">-H12*Inputs!$B$17</f>
        <v>-0</v>
      </c>
      <c r="I13" s="6" t="n">
        <f aca="false">-I12*Inputs!$B$17</f>
        <v>-0</v>
      </c>
      <c r="J13" s="6" t="n">
        <f aca="false">-J12*Inputs!$B$17</f>
        <v>-0</v>
      </c>
    </row>
    <row r="14" customFormat="false" ht="15" hidden="false" customHeight="false" outlineLevel="0" collapsed="false">
      <c r="A14" s="20" t="s">
        <v>33</v>
      </c>
      <c r="C14" s="6" t="n">
        <f aca="false">IF(1=Inputs!$B$14,Inputs!$B$15*Inputs!$B$7,0)</f>
        <v>0</v>
      </c>
      <c r="D14" s="6" t="n">
        <f aca="false">IF(2=Inputs!$B$14,Inputs!$B$15*Inputs!$B$7,0)</f>
        <v>0</v>
      </c>
      <c r="E14" s="6" t="n">
        <f aca="false">IF(3=Inputs!$B$14,Inputs!$B$15*Inputs!$B$7,0)</f>
        <v>0</v>
      </c>
      <c r="F14" s="6" t="n">
        <f aca="false">IF(4=Inputs!$B$14,Inputs!$B$15*Inputs!$B$7,0)</f>
        <v>0</v>
      </c>
      <c r="G14" s="6" t="n">
        <f aca="false">IF(5=Inputs!$B$14,Inputs!$B$15*Inputs!$B$7,0)</f>
        <v>1750</v>
      </c>
      <c r="H14" s="6" t="n">
        <f aca="false">IF(6=Inputs!$B$14,Inputs!$B$15*Inputs!$B$7,0)</f>
        <v>0</v>
      </c>
      <c r="I14" s="6" t="n">
        <f aca="false">IF(7=Inputs!$B$14,Inputs!$B$15*Inputs!$B$7,0)</f>
        <v>0</v>
      </c>
      <c r="J14" s="6" t="n">
        <f aca="false">IF(8=Inputs!$B$14,Inputs!$B$15*Inputs!$B$7,0)</f>
        <v>0</v>
      </c>
    </row>
    <row r="15" customFormat="false" ht="15" hidden="false" customHeight="false" outlineLevel="0" collapsed="false">
      <c r="A15" s="3" t="s">
        <v>61</v>
      </c>
      <c r="B15" s="6" t="n">
        <f aca="false">-Inputs!$B$7</f>
        <v>-35000</v>
      </c>
      <c r="C15" s="6" t="n">
        <f aca="false">C10+C13+C14</f>
        <v>12500.909988</v>
      </c>
      <c r="D15" s="6" t="n">
        <f aca="false">D10+D13+D14</f>
        <v>10427.385138</v>
      </c>
      <c r="E15" s="6" t="n">
        <f aca="false">E10+E13+E14</f>
        <v>8664.8890155</v>
      </c>
      <c r="F15" s="6" t="n">
        <f aca="false">F10+F13+F14</f>
        <v>7166.767311375</v>
      </c>
      <c r="G15" s="6" t="n">
        <f aca="false">G10+G13+G14</f>
        <v>7643.36386286875</v>
      </c>
      <c r="H15" s="6" t="n">
        <f aca="false">H10+H13+H14</f>
        <v>0</v>
      </c>
      <c r="I15" s="6" t="n">
        <f aca="false">I10+I13+I14</f>
        <v>0</v>
      </c>
      <c r="J15" s="6" t="n">
        <f aca="false">J10+J13+J14</f>
        <v>0</v>
      </c>
    </row>
    <row r="16" customFormat="false" ht="15" hidden="false" customHeight="false" outlineLevel="0" collapsed="false">
      <c r="A16" s="20" t="s">
        <v>62</v>
      </c>
      <c r="B16" s="6" t="n">
        <f aca="false">B15</f>
        <v>-35000</v>
      </c>
      <c r="C16" s="6" t="n">
        <f aca="false">B16+C15</f>
        <v>-22499.090012</v>
      </c>
      <c r="D16" s="6" t="n">
        <f aca="false">C16+D15</f>
        <v>-12071.704874</v>
      </c>
      <c r="E16" s="6" t="n">
        <f aca="false">D16+E15</f>
        <v>-3406.8158585</v>
      </c>
      <c r="F16" s="6" t="n">
        <f aca="false">E16+F15</f>
        <v>3759.951452875</v>
      </c>
      <c r="G16" s="6" t="n">
        <f aca="false">F16+G15</f>
        <v>11403.3153157437</v>
      </c>
      <c r="H16" s="6" t="n">
        <f aca="false">G16+H15</f>
        <v>11403.3153157437</v>
      </c>
      <c r="I16" s="6" t="n">
        <f aca="false">H16+I15</f>
        <v>11403.3153157437</v>
      </c>
      <c r="J16" s="6" t="n">
        <f aca="false">I16+J15</f>
        <v>11403.3153157437</v>
      </c>
    </row>
    <row r="19" customFormat="false" ht="15" hidden="false" customHeight="false" outlineLevel="0" collapsed="false">
      <c r="A19" s="1" t="s">
        <v>63</v>
      </c>
    </row>
    <row r="20" customFormat="false" ht="15" hidden="false" customHeight="false" outlineLevel="0" collapsed="false">
      <c r="A20" s="2" t="s">
        <v>64</v>
      </c>
      <c r="B20" s="21" t="n">
        <f aca="false">B15+NPV(Inputs!$B$16,C15:J15)</f>
        <v>317.808984156443</v>
      </c>
    </row>
    <row r="21" customFormat="false" ht="15" hidden="false" customHeight="false" outlineLevel="0" collapsed="false">
      <c r="A21" s="2" t="s">
        <v>65</v>
      </c>
      <c r="B21" s="21" t="n">
        <f aca="false">B20*1000</f>
        <v>317808.984156443</v>
      </c>
    </row>
    <row r="22" customFormat="false" ht="15" hidden="false" customHeight="false" outlineLevel="0" collapsed="false">
      <c r="A22" s="2" t="s">
        <v>66</v>
      </c>
      <c r="B22" s="22" t="n">
        <f aca="false">IRR(B15:J15)</f>
        <v>0.114005154849479</v>
      </c>
    </row>
    <row r="23" customFormat="false" ht="15" hidden="false" customHeight="false" outlineLevel="0" collapsed="false">
      <c r="A23" s="2" t="s">
        <v>67</v>
      </c>
      <c r="B23" s="23" t="n">
        <f aca="false">IFERROR(MATCH(TRUE(),INDEX(C16:J16&gt;=0,0),0)-1+(-INDEX(B16:I16,MATCH(TRUE(),INDEX(C16:J16&gt;=0,0),0))/INDEX(C15:J15,MATCH(TRUE(),INDEX(C16:J16&gt;=0,0),0))),"Not within life")</f>
        <v>3.4753629789393</v>
      </c>
    </row>
    <row r="24" customFormat="false" ht="15" hidden="false" customHeight="false" outlineLevel="0" collapsed="false">
      <c r="A24" s="2" t="s">
        <v>68</v>
      </c>
      <c r="B24" s="22" t="n">
        <f aca="false">IFERROR(C10/C7,0)</f>
        <v>0.797982478097622</v>
      </c>
    </row>
    <row r="25" customFormat="false" ht="15" hidden="false" customHeight="false" outlineLevel="0" collapsed="false">
      <c r="A25" s="2" t="s">
        <v>69</v>
      </c>
      <c r="B25" s="22" t="n">
        <f aca="false">IFERROR(-C11/C7,0)</f>
        <v>0.400043433287043</v>
      </c>
    </row>
    <row r="26" customFormat="false" ht="15" hidden="false" customHeight="false" outlineLevel="0" collapsed="false">
      <c r="A26" s="2" t="s">
        <v>70</v>
      </c>
      <c r="B26" s="22" t="n">
        <f aca="false">IFERROR(C12/C7,0)</f>
        <v>0.397939044810579</v>
      </c>
    </row>
    <row r="27" customFormat="false" ht="15" hidden="false" customHeight="false" outlineLevel="0" collapsed="false">
      <c r="A27" s="2" t="s">
        <v>71</v>
      </c>
      <c r="B27" s="22" t="n">
        <f aca="false">IFERROR((C10-Inputs!$B$7/6)/C7,0)</f>
        <v>0.46461295035842</v>
      </c>
      <c r="C27" s="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15" hidden="false" customHeight="false" outlineLevel="0" collapsed="false">
      <c r="A4" s="5" t="s">
        <v>75</v>
      </c>
      <c r="B4" s="5" t="s">
        <v>76</v>
      </c>
      <c r="C4" s="5" t="s">
        <v>77</v>
      </c>
      <c r="D4" s="5" t="s">
        <v>78</v>
      </c>
      <c r="E4" s="5" t="s">
        <v>79</v>
      </c>
    </row>
    <row r="5" customFormat="false" ht="15" hidden="false" customHeight="false" outlineLevel="0" collapsed="false">
      <c r="A5" s="2" t="s">
        <v>55</v>
      </c>
      <c r="B5" s="7" t="n">
        <v>229</v>
      </c>
      <c r="C5" s="7" t="n">
        <v>1915</v>
      </c>
      <c r="D5" s="7" t="n">
        <v>5131</v>
      </c>
      <c r="E5" s="7" t="n">
        <v>4653</v>
      </c>
    </row>
    <row r="6" customFormat="false" ht="15" hidden="false" customHeight="false" outlineLevel="0" collapsed="false">
      <c r="A6" s="2" t="s">
        <v>80</v>
      </c>
      <c r="B6" s="7" t="n">
        <v>103</v>
      </c>
      <c r="C6" s="7" t="n">
        <v>863</v>
      </c>
      <c r="D6" s="7" t="n">
        <v>2454</v>
      </c>
      <c r="E6" s="7" t="n">
        <v>2540</v>
      </c>
    </row>
    <row r="7" customFormat="false" ht="15" hidden="false" customHeight="false" outlineLevel="0" collapsed="false">
      <c r="A7" s="2" t="s">
        <v>81</v>
      </c>
      <c r="B7" s="7" t="n">
        <v>-14</v>
      </c>
      <c r="C7" s="7" t="n">
        <v>324</v>
      </c>
      <c r="D7" s="7" t="n">
        <v>-46</v>
      </c>
      <c r="E7" s="7" t="n">
        <v>-193</v>
      </c>
    </row>
    <row r="8" customFormat="false" ht="15" hidden="false" customHeight="false" outlineLevel="0" collapsed="false">
      <c r="A8" s="2" t="s">
        <v>82</v>
      </c>
      <c r="B8" s="7" t="n">
        <v>2943</v>
      </c>
      <c r="C8" s="7" t="n">
        <v>8702</v>
      </c>
      <c r="D8" s="7" t="n">
        <v>10309</v>
      </c>
      <c r="E8" s="7" t="n">
        <v>14117</v>
      </c>
    </row>
    <row r="10" customFormat="false" ht="15" hidden="false" customHeight="false" outlineLevel="0" collapsed="false">
      <c r="A10" s="3" t="s">
        <v>83</v>
      </c>
      <c r="B10" s="10" t="n">
        <f aca="false">IFERROR(B6/B5,0)</f>
        <v>0.449781659388646</v>
      </c>
      <c r="C10" s="10" t="n">
        <f aca="false">IFERROR(C6/C5,0)</f>
        <v>0.45065274151436</v>
      </c>
      <c r="D10" s="10" t="n">
        <f aca="false">IFERROR(D6/D5,0)</f>
        <v>0.478269343207952</v>
      </c>
      <c r="E10" s="10" t="n">
        <f aca="false">IFERROR(E6/E5,0)</f>
        <v>0.54588437567161</v>
      </c>
    </row>
    <row r="11" customFormat="false" ht="15" hidden="false" customHeight="false" outlineLevel="0" collapsed="false">
      <c r="A11" s="3" t="s">
        <v>84</v>
      </c>
      <c r="B11" s="10" t="n">
        <f aca="false">IFERROR(B7/B5,0)</f>
        <v>-0.0611353711790393</v>
      </c>
      <c r="C11" s="10" t="n">
        <f aca="false">IFERROR(C7/C5,0)</f>
        <v>0.169190600522193</v>
      </c>
      <c r="D11" s="10" t="n">
        <f aca="false">IFERROR(D7/D5,0)</f>
        <v>-0.00896511401286299</v>
      </c>
      <c r="E11" s="10" t="n">
        <f aca="false">IFERROR(E7/E5,0)</f>
        <v>-0.0414786159467011</v>
      </c>
    </row>
    <row r="12" customFormat="false" ht="15" hidden="false" customHeight="false" outlineLevel="0" collapsed="false">
      <c r="A12" s="3" t="s">
        <v>85</v>
      </c>
      <c r="B12" s="24" t="n">
        <f aca="false">IFERROR(B8/B5,0)</f>
        <v>12.8515283842795</v>
      </c>
      <c r="C12" s="24" t="n">
        <f aca="false">IFERROR(C8/C5,0)</f>
        <v>4.54412532637076</v>
      </c>
      <c r="D12" s="24" t="n">
        <f aca="false">IFERROR(D8/D5,0)</f>
        <v>2.00916000779575</v>
      </c>
      <c r="E12" s="24" t="n">
        <f aca="false">IFERROR(E8/E5,0)</f>
        <v>3.03395658714808</v>
      </c>
    </row>
    <row r="14" customFormat="false" ht="15" hidden="false" customHeight="false" outlineLevel="0" collapsed="false">
      <c r="A14" s="2" t="s">
        <v>86</v>
      </c>
      <c r="B14" s="25" t="n">
        <f aca="false">Model!B25</f>
        <v>0.400043433287043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87</v>
      </c>
    </row>
    <row r="3" customFormat="false" ht="15" hidden="false" customHeight="false" outlineLevel="0" collapsed="false">
      <c r="A3" s="2" t="s">
        <v>88</v>
      </c>
      <c r="B3" s="2" t="s">
        <v>89</v>
      </c>
    </row>
    <row r="4" customFormat="false" ht="15" hidden="false" customHeight="false" outlineLevel="0" collapsed="false">
      <c r="A4" s="2" t="s">
        <v>90</v>
      </c>
      <c r="B4" s="2" t="s">
        <v>91</v>
      </c>
    </row>
    <row r="5" customFormat="false" ht="15" hidden="false" customHeight="false" outlineLevel="0" collapsed="false">
      <c r="A5" s="2" t="s">
        <v>92</v>
      </c>
      <c r="B5" s="2" t="s">
        <v>93</v>
      </c>
    </row>
    <row r="6" customFormat="false" ht="15" hidden="false" customHeight="false" outlineLevel="0" collapsed="false">
      <c r="A6" s="2" t="s">
        <v>94</v>
      </c>
      <c r="B6" s="2" t="s">
        <v>95</v>
      </c>
    </row>
    <row r="7" customFormat="false" ht="15" hidden="false" customHeight="false" outlineLevel="0" collapsed="false">
      <c r="A7" s="2" t="s">
        <v>96</v>
      </c>
      <c r="B7" s="2" t="s">
        <v>97</v>
      </c>
    </row>
    <row r="10" customFormat="false" ht="15" hidden="false" customHeight="false" outlineLevel="0" collapsed="false">
      <c r="A10" s="2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2026-10-06T19:18:57Z</dcterms:created>
  <dc:creator>openpyxl</dc:creator>
  <dc:description/>
  <dc:language>en-US</dc:language>
  <cp:lastModifiedBy/>
  <dcterms:modified xsi:type="dcterms:W3CDTF">2026-10-06T19:18:57Z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